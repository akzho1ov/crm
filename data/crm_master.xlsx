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Mgr_1" sheetId="2" state="visible" r:id="rId2"/>
    <sheet name="Mgr_2" sheetId="3" state="visible" r:id="rId3"/>
    <sheet name="Mgr_3" sheetId="4" state="visible" r:id="rId4"/>
    <sheet name="Mgr_4" sheetId="5" state="visible" r:id="rId5"/>
    <sheet name="Mgr_5" sheetId="6" state="visible" r:id="rId6"/>
    <sheet name="Mgr_6" sheetId="7" state="visible" r:id="rId7"/>
    <sheet name="Mgr_7" sheetId="8" state="visible" r:id="rId8"/>
    <sheet name="Mgr_8" sheetId="9" state="visible" r:id="rId9"/>
    <sheet name="Mgr_9" sheetId="10" state="visible" r:id="rId10"/>
    <sheet name="Mgr_10" sheetId="11" state="visible" r:id="rId11"/>
    <sheet name="Mgr_11" sheetId="12" state="visible" r:id="rId12"/>
    <sheet name="Mgr_12" sheetId="13" state="visible" r:id="rId13"/>
    <sheet name="Mgr_13" sheetId="14" state="visible" r:id="rId14"/>
    <sheet name="Mgr_14" sheetId="15" state="visible" r:id="rId15"/>
    <sheet name="Mgr_15" sheetId="16" state="visible" r:id="rId16"/>
    <sheet name="Mgr_16" sheetId="17" state="visible" r:id="rId17"/>
    <sheet name="Mgr_17" sheetId="18" state="visible" r:id="rId18"/>
    <sheet name="Mgr_18" sheetId="19" state="visible" r:id="rId19"/>
    <sheet name="Mgr_19" sheetId="20" state="visible" r:id="rId20"/>
    <sheet name="Mgr_20" sheetId="21" state="visible" r:id="rId2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&quot; сом&quot;"/>
    <numFmt numFmtId="165" formatCode="0.0\%"/>
    <numFmt numFmtId="166" formatCode="dd\.mm\.yyyy"/>
  </numFmts>
  <fonts count="3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2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3498DB"/>
      <sz val="28"/>
    </font>
    <font>
      <name val="Arial"/>
      <charset val="1"/>
      <family val="0"/>
      <b val="1"/>
      <color rgb="FFE74C3C"/>
      <sz val="28"/>
    </font>
    <font>
      <name val="Arial"/>
      <charset val="1"/>
      <family val="0"/>
      <b val="1"/>
      <color rgb="FFFFA500"/>
      <sz val="28"/>
    </font>
    <font>
      <name val="Arial"/>
      <charset val="1"/>
      <family val="0"/>
      <b val="1"/>
      <color rgb="FFFF6B6B"/>
      <sz val="28"/>
    </font>
    <font>
      <name val="Arial"/>
      <charset val="1"/>
      <family val="0"/>
      <b val="1"/>
      <color rgb="FF27AE60"/>
      <sz val="28"/>
    </font>
    <font>
      <name val="Arial"/>
      <charset val="1"/>
      <family val="0"/>
      <b val="1"/>
      <color rgb="FF2ECC71"/>
      <sz val="24"/>
    </font>
    <font>
      <name val="Arial"/>
      <charset val="1"/>
      <family val="0"/>
      <b val="1"/>
      <color rgb="FF9B59B6"/>
      <sz val="24"/>
    </font>
    <font>
      <name val="Arial"/>
      <charset val="1"/>
      <family val="0"/>
      <b val="1"/>
      <color rgb="FFE67E22"/>
      <sz val="24"/>
    </font>
    <font>
      <name val="Arial"/>
      <charset val="1"/>
      <family val="0"/>
      <b val="1"/>
      <color rgb="FFFFA500"/>
      <sz val="24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27AE6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color rgb="FF7F8C8D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sz val="9"/>
    </font>
    <font>
      <name val="Arial"/>
      <charset val="1"/>
      <family val="0"/>
      <color rgb="FF0000FF"/>
      <sz val="8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00FF"/>
      <sz val="9"/>
    </font>
    <font>
      <name val="Arial"/>
      <charset val="1"/>
      <family val="0"/>
      <i val="1"/>
      <color rgb="FF7F8C8D"/>
      <sz val="9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2C3E50"/>
      <sz val="10"/>
    </font>
    <font>
      <name val="Arial"/>
      <charset val="1"/>
      <family val="0"/>
      <sz val="9"/>
    </font>
    <font>
      <name val="Cambria"/>
      <charset val="1"/>
      <family val="0"/>
      <color rgb="FF2C3E50"/>
      <sz val="10"/>
    </font>
    <font>
      <name val="Calibri"/>
      <charset val="1"/>
      <family val="0"/>
      <b val="1"/>
      <color rgb="FFFFFFFF"/>
      <sz val="13"/>
    </font>
  </fonts>
  <fills count="23">
    <fill>
      <patternFill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3498DB"/>
        <bgColor rgb="FF5DADE2"/>
      </patternFill>
    </fill>
    <fill>
      <patternFill patternType="solid">
        <fgColor rgb="FFE74C3C"/>
        <bgColor rgb="FFFF6B6B"/>
      </patternFill>
    </fill>
    <fill>
      <patternFill patternType="solid">
        <fgColor rgb="FFFFA500"/>
        <bgColor rgb="FFE67E22"/>
      </patternFill>
    </fill>
    <fill>
      <patternFill patternType="solid">
        <fgColor rgb="FFFF6B6B"/>
        <bgColor rgb="FFE74C3C"/>
      </patternFill>
    </fill>
    <fill>
      <patternFill patternType="solid">
        <fgColor rgb="FF27AE60"/>
        <bgColor rgb="FF2ECC71"/>
      </patternFill>
    </fill>
    <fill>
      <patternFill patternType="solid">
        <fgColor rgb="FF2ECC71"/>
        <bgColor rgb="FF27AE60"/>
      </patternFill>
    </fill>
    <fill>
      <patternFill patternType="solid">
        <fgColor rgb="FF9B59B6"/>
        <bgColor rgb="FF8E44AD"/>
      </patternFill>
    </fill>
    <fill>
      <patternFill patternType="solid">
        <fgColor rgb="FFE67E22"/>
        <bgColor rgb="FFFF6B6B"/>
      </patternFill>
    </fill>
    <fill>
      <patternFill patternType="solid">
        <fgColor rgb="FF34495E"/>
        <bgColor rgb="FF2C3E50"/>
      </patternFill>
    </fill>
    <fill>
      <patternFill patternType="solid">
        <fgColor rgb="FFECF0F1"/>
        <bgColor rgb="FFF8F9FA"/>
      </patternFill>
    </fill>
    <fill>
      <patternFill patternType="solid">
        <fgColor rgb="FFD6EAF8"/>
        <bgColor rgb="FFD5F4E6"/>
      </patternFill>
    </fill>
    <fill>
      <patternFill patternType="solid">
        <fgColor rgb="FF5DADE2"/>
        <bgColor rgb="FF3498DB"/>
      </patternFill>
    </fill>
    <fill>
      <patternFill patternType="solid">
        <fgColor rgb="FF8E44AD"/>
        <bgColor rgb="FF9B59B6"/>
      </patternFill>
    </fill>
    <fill>
      <patternFill patternType="solid">
        <fgColor rgb="FFF8F9FA"/>
        <bgColor rgb="FFFFFFFF"/>
      </patternFill>
    </fill>
    <fill>
      <patternFill patternType="solid">
        <fgColor rgb="FFD5F4E6"/>
        <bgColor rgb="FFD6EAF8"/>
      </patternFill>
    </fill>
    <fill>
      <patternFill patternType="solid">
        <fgColor rgb="FFF9E79F"/>
        <bgColor rgb="FFFFEAA7"/>
      </patternFill>
    </fill>
    <fill>
      <patternFill patternType="solid">
        <fgColor rgb="FFFFFFFF"/>
        <bgColor rgb="FFF8F9FA"/>
      </patternFill>
    </fill>
    <fill>
      <patternFill patternType="solid">
        <fgColor rgb="FFFFD700"/>
        <bgColor rgb="FFFFFF00"/>
      </patternFill>
    </fill>
    <fill>
      <patternFill patternType="solid">
        <fgColor rgb="FFFFEAA7"/>
        <bgColor rgb="FFF9E79F"/>
      </patternFill>
    </fill>
    <fill>
      <patternFill patternType="solid">
        <fgColor rgb="FF1F4E78"/>
        <bgColor rgb="FF34495E"/>
      </patternFill>
    </fill>
  </fills>
  <borders count="18">
    <border>
      <left/>
      <right/>
      <top/>
      <bottom/>
      <diagonal/>
    </border>
    <border>
      <left style="thick">
        <color rgb="FF34495E"/>
      </left>
      <right style="thick">
        <color rgb="FF34495E"/>
      </right>
      <top style="thick">
        <color rgb="FF34495E"/>
      </top>
      <bottom style="thick">
        <color rgb="FF34495E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ck">
        <color rgb="FF34495E"/>
      </left>
      <right/>
      <top style="thick">
        <color rgb="FF34495E"/>
      </top>
      <bottom style="thick">
        <color rgb="FF34495E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medium">
        <color rgb="FF34495E"/>
      </left>
      <right style="medium">
        <color rgb="FF34495E"/>
      </right>
      <top style="medium">
        <color rgb="FF34495E"/>
      </top>
      <bottom style="medium">
        <color rgb="FF34495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ck">
        <color rgb="FF34495E"/>
      </top>
      <bottom/>
      <diagonal/>
    </border>
    <border>
      <left/>
      <right style="thick">
        <color rgb="FF34495E"/>
      </right>
      <top style="thick">
        <color rgb="FF34495E"/>
      </top>
      <bottom/>
      <diagonal/>
    </border>
    <border>
      <left/>
      <right style="thick">
        <color rgb="FF34495E"/>
      </right>
      <top style="thick">
        <color rgb="FF34495E"/>
      </top>
      <bottom style="thick">
        <color rgb="FF34495E"/>
      </bottom>
      <diagonal/>
    </border>
    <border>
      <left style="thick">
        <color rgb="FF34495E"/>
      </left>
      <right/>
      <top/>
      <bottom/>
      <diagonal/>
    </border>
    <border>
      <left/>
      <right style="thick">
        <color rgb="FF34495E"/>
      </right>
      <top/>
      <bottom/>
      <diagonal/>
    </border>
    <border>
      <left style="thick">
        <color rgb="FF34495E"/>
      </left>
      <right/>
      <top/>
      <bottom style="thick">
        <color rgb="FF34495E"/>
      </bottom>
      <diagonal/>
    </border>
    <border>
      <left/>
      <right style="thick">
        <color rgb="FF34495E"/>
      </right>
      <top/>
      <bottom style="thick">
        <color rgb="FF34495E"/>
      </bottom>
      <diagonal/>
    </border>
    <border>
      <left/>
      <right/>
      <top style="thick">
        <color rgb="FF34495E"/>
      </top>
      <bottom style="thick">
        <color rgb="FF34495E"/>
      </bottom>
      <diagonal/>
    </border>
    <border>
      <left/>
      <right/>
      <top/>
      <bottom style="thick">
        <color rgb="FF34495E"/>
      </bottom>
      <diagonal/>
    </border>
    <border>
      <left/>
      <right/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3" borderId="2" applyAlignment="1" pivotButton="0" quotePrefix="0" xfId="0">
      <alignment horizontal="center" vertical="center" wrapText="1"/>
    </xf>
    <xf numFmtId="0" fontId="18" fillId="12" borderId="2" applyAlignment="1" pivotButton="0" quotePrefix="0" xfId="0">
      <alignment horizontal="center" vertical="center"/>
    </xf>
    <xf numFmtId="0" fontId="19" fillId="13" borderId="2" applyAlignment="1" pivotButton="0" quotePrefix="0" xfId="0">
      <alignment horizontal="center" vertical="center"/>
    </xf>
    <xf numFmtId="0" fontId="20" fillId="13" borderId="2" applyAlignment="1" pivotButton="0" quotePrefix="0" xfId="0">
      <alignment horizontal="center" vertical="center"/>
    </xf>
    <xf numFmtId="165" fontId="19" fillId="13" borderId="2" applyAlignment="1" pivotButton="0" quotePrefix="0" xfId="0">
      <alignment horizontal="center" vertical="center"/>
    </xf>
    <xf numFmtId="164" fontId="21" fillId="13" borderId="2" applyAlignment="1" pivotButton="0" quotePrefix="0" xfId="0">
      <alignment horizontal="center" vertical="center"/>
    </xf>
    <xf numFmtId="164" fontId="19" fillId="13" borderId="2" applyAlignment="1" pivotButton="0" quotePrefix="0" xfId="0">
      <alignment horizontal="center" vertical="center"/>
    </xf>
    <xf numFmtId="0" fontId="21" fillId="13" borderId="2" applyAlignment="1" pivotButton="0" quotePrefix="0" xfId="0">
      <alignment horizontal="center" vertical="center"/>
    </xf>
    <xf numFmtId="0" fontId="6" fillId="7" borderId="0" applyAlignment="1" pivotButton="0" quotePrefix="0" xfId="0">
      <alignment horizontal="general" vertical="bottom"/>
    </xf>
    <xf numFmtId="0" fontId="22" fillId="7" borderId="2" applyAlignment="1" pivotButton="0" quotePrefix="0" xfId="0">
      <alignment horizontal="center" vertical="center"/>
    </xf>
    <xf numFmtId="165" fontId="22" fillId="7" borderId="2" applyAlignment="1" pivotButton="0" quotePrefix="0" xfId="0">
      <alignment horizontal="center" vertical="center"/>
    </xf>
    <xf numFmtId="164" fontId="22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14" borderId="3" applyAlignment="1" pivotButton="0" quotePrefix="0" xfId="0">
      <alignment horizontal="center" vertical="center"/>
    </xf>
    <xf numFmtId="0" fontId="23" fillId="12" borderId="4" applyAlignment="1" pivotButton="0" quotePrefix="0" xfId="0">
      <alignment horizontal="center" vertical="center"/>
    </xf>
    <xf numFmtId="0" fontId="24" fillId="3" borderId="0" applyAlignment="1" pivotButton="0" quotePrefix="0" xfId="0">
      <alignment horizontal="general" vertical="bottom"/>
    </xf>
    <xf numFmtId="0" fontId="25" fillId="11" borderId="2" applyAlignment="1" pivotButton="0" quotePrefix="0" xfId="0">
      <alignment horizontal="center" vertical="center"/>
    </xf>
    <xf numFmtId="0" fontId="26" fillId="11" borderId="2" applyAlignment="1" pivotButton="0" quotePrefix="0" xfId="0">
      <alignment horizontal="center" vertical="center"/>
    </xf>
    <xf numFmtId="0" fontId="27" fillId="12" borderId="2" applyAlignment="1" pivotButton="0" quotePrefix="0" xfId="0">
      <alignment horizontal="left" vertical="center"/>
    </xf>
    <xf numFmtId="3" fontId="28" fillId="13" borderId="2" applyAlignment="1" pivotButton="0" quotePrefix="0" xfId="0">
      <alignment horizontal="center" vertical="center"/>
    </xf>
    <xf numFmtId="0" fontId="24" fillId="15" borderId="0" applyAlignment="1" pivotButton="0" quotePrefix="0" xfId="0">
      <alignment horizontal="general" vertical="bottom"/>
    </xf>
    <xf numFmtId="0" fontId="25" fillId="11" borderId="2" applyAlignment="1" pivotButton="0" quotePrefix="0" xfId="0">
      <alignment horizontal="center" vertical="center" wrapText="1"/>
    </xf>
    <xf numFmtId="0" fontId="27" fillId="12" borderId="2" applyAlignment="1" pivotButton="0" quotePrefix="0" xfId="0">
      <alignment horizontal="general" vertical="bottom"/>
    </xf>
    <xf numFmtId="3" fontId="29" fillId="16" borderId="2" applyAlignment="1" pivotButton="0" quotePrefix="0" xfId="0">
      <alignment horizontal="center" vertical="center"/>
    </xf>
    <xf numFmtId="164" fontId="30" fillId="17" borderId="2" applyAlignment="1" pivotButton="0" quotePrefix="0" xfId="0">
      <alignment horizontal="center" vertical="center"/>
    </xf>
    <xf numFmtId="3" fontId="29" fillId="0" borderId="2" applyAlignment="1" pivotButton="0" quotePrefix="0" xfId="0">
      <alignment horizontal="center" vertical="center"/>
    </xf>
    <xf numFmtId="0" fontId="24" fillId="4" borderId="0" applyAlignment="1" pivotButton="0" quotePrefix="0" xfId="0">
      <alignment horizontal="general" vertical="bottom"/>
    </xf>
    <xf numFmtId="164" fontId="30" fillId="18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25" fillId="7" borderId="5" applyAlignment="1" pivotButton="0" quotePrefix="0" xfId="0">
      <alignment horizontal="center" vertical="center"/>
    </xf>
    <xf numFmtId="0" fontId="33" fillId="12" borderId="2" applyAlignment="1" pivotButton="0" quotePrefix="0" xfId="0">
      <alignment horizontal="left" vertical="center"/>
    </xf>
    <xf numFmtId="0" fontId="34" fillId="19" borderId="2" applyAlignment="1" pivotButton="0" quotePrefix="0" xfId="0">
      <alignment horizontal="center" vertical="center"/>
    </xf>
    <xf numFmtId="0" fontId="34" fillId="16" borderId="2" applyAlignment="1" pivotButton="0" quotePrefix="0" xfId="0">
      <alignment horizontal="center" vertical="center"/>
    </xf>
    <xf numFmtId="0" fontId="35" fillId="19" borderId="0" applyAlignment="1" pivotButton="0" quotePrefix="0" xfId="0">
      <alignment horizontal="center" vertical="center"/>
    </xf>
    <xf numFmtId="0" fontId="35" fillId="16" borderId="0" applyAlignment="1" pivotButton="0" quotePrefix="0" xfId="0">
      <alignment horizontal="center" vertical="center"/>
    </xf>
    <xf numFmtId="0" fontId="35" fillId="16" borderId="2" applyAlignment="1" pivotButton="0" quotePrefix="0" xfId="0">
      <alignment horizontal="center" vertical="center"/>
    </xf>
    <xf numFmtId="0" fontId="35" fillId="19" borderId="2" applyAlignment="1" pivotButton="0" quotePrefix="0" xfId="0">
      <alignment horizontal="center" vertical="center"/>
    </xf>
    <xf numFmtId="0" fontId="33" fillId="20" borderId="2" applyAlignment="1" pivotButton="0" quotePrefix="0" xfId="0">
      <alignment horizontal="left" vertical="center"/>
    </xf>
    <xf numFmtId="165" fontId="21" fillId="13" borderId="2" applyAlignment="1" pivotButton="0" quotePrefix="0" xfId="0">
      <alignment horizontal="center" vertical="center"/>
    </xf>
    <xf numFmtId="0" fontId="33" fillId="21" borderId="2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left" vertical="center"/>
    </xf>
    <xf numFmtId="164" fontId="0" fillId="16" borderId="2" applyAlignment="1" pivotButton="0" quotePrefix="0" xfId="0">
      <alignment horizontal="center" vertical="center"/>
    </xf>
    <xf numFmtId="166" fontId="0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36" fillId="22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left" vertical="center"/>
    </xf>
    <xf numFmtId="164" fontId="17" fillId="11" borderId="2" applyAlignment="1" pivotButton="0" quotePrefix="0" xfId="0">
      <alignment horizontal="center" vertical="center"/>
    </xf>
    <xf numFmtId="166" fontId="17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left" vertical="center" wrapText="1"/>
    </xf>
    <xf numFmtId="166" fontId="0" fillId="16" borderId="2" applyAlignment="1" pivotButton="0" quotePrefix="0" xfId="0">
      <alignment horizontal="left" vertical="center"/>
    </xf>
    <xf numFmtId="164" fontId="0" fillId="16" borderId="2" applyAlignment="1" pivotButton="0" quotePrefix="0" xfId="0">
      <alignment horizontal="left" vertical="center" wrapText="1"/>
    </xf>
    <xf numFmtId="166" fontId="0" fillId="16" borderId="2" applyAlignment="1" pivotButton="0" quotePrefix="0" xfId="0">
      <alignment horizontal="general" vertical="bottom"/>
    </xf>
    <xf numFmtId="0" fontId="0" fillId="19" borderId="2" applyAlignment="1" pivotButton="0" quotePrefix="0" xfId="0">
      <alignment horizontal="center" vertical="center"/>
    </xf>
    <xf numFmtId="166" fontId="0" fillId="19" borderId="2" applyAlignment="1" pivotButton="0" quotePrefix="0" xfId="0">
      <alignment horizontal="left" vertical="center"/>
    </xf>
    <xf numFmtId="164" fontId="0" fillId="19" borderId="2" applyAlignment="1" pivotButton="0" quotePrefix="0" xfId="0">
      <alignment horizontal="center" vertical="center"/>
    </xf>
    <xf numFmtId="164" fontId="0" fillId="19" borderId="2" applyAlignment="1" pivotButton="0" quotePrefix="0" xfId="0">
      <alignment horizontal="center" vertical="center"/>
    </xf>
    <xf numFmtId="166" fontId="0" fillId="19" borderId="2" applyAlignment="1" pivotButton="0" quotePrefix="0" xfId="0">
      <alignment horizontal="center" vertical="center"/>
    </xf>
    <xf numFmtId="164" fontId="0" fillId="19" borderId="2" applyAlignment="1" pivotButton="0" quotePrefix="0" xfId="0">
      <alignment horizontal="left" vertical="center" wrapText="1"/>
    </xf>
    <xf numFmtId="166" fontId="0" fillId="19" borderId="2" applyAlignment="1" pivotButton="0" quotePrefix="0" xfId="0">
      <alignment horizontal="general" vertical="bottom"/>
    </xf>
    <xf numFmtId="0" fontId="0" fillId="19" borderId="2" applyAlignment="1" pivotButton="0" quotePrefix="0" xfId="0">
      <alignment horizontal="general" vertical="bottom"/>
    </xf>
    <xf numFmtId="0" fontId="0" fillId="16" borderId="2" applyAlignment="1" pivotButton="0" quotePrefix="0" xfId="0">
      <alignment horizontal="general" vertical="bottom"/>
    </xf>
    <xf numFmtId="164" fontId="0" fillId="16" borderId="2" applyAlignment="1" pivotButton="0" quotePrefix="0" xfId="0">
      <alignment horizontal="general" vertical="bottom"/>
    </xf>
    <xf numFmtId="164" fontId="0" fillId="19" borderId="2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166" fontId="0" fillId="0" borderId="6" applyAlignment="1" pivotButton="0" quotePrefix="0" xfId="0">
      <alignment horizontal="general" vertical="bottom"/>
    </xf>
    <xf numFmtId="164" fontId="0" fillId="0" borderId="6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9" pivotButton="0" quotePrefix="0" xfId="0"/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0" fontId="0" fillId="0" borderId="8" pivotButton="0" quotePrefix="0" xfId="0"/>
    <xf numFmtId="3" fontId="8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0" fontId="0" fillId="0" borderId="7" pivotButton="0" quotePrefix="0" xfId="0"/>
    <xf numFmtId="165" fontId="13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0" fillId="0" borderId="15" pivotButton="0" quotePrefix="0" xfId="0"/>
    <xf numFmtId="0" fontId="16" fillId="11" borderId="0" applyAlignment="1" pivotButton="0" quotePrefix="0" xfId="0">
      <alignment horizontal="center" vertical="center"/>
    </xf>
    <xf numFmtId="0" fontId="17" fillId="3" borderId="2" applyAlignment="1" pivotButton="0" quotePrefix="0" xfId="0">
      <alignment horizontal="center" vertical="center" wrapText="1"/>
    </xf>
    <xf numFmtId="0" fontId="18" fillId="12" borderId="2" applyAlignment="1" pivotButton="0" quotePrefix="0" xfId="0">
      <alignment horizontal="center" vertical="center"/>
    </xf>
    <xf numFmtId="0" fontId="19" fillId="13" borderId="2" applyAlignment="1" pivotButton="0" quotePrefix="0" xfId="0">
      <alignment horizontal="center" vertical="center"/>
    </xf>
    <xf numFmtId="0" fontId="20" fillId="13" borderId="2" applyAlignment="1" pivotButton="0" quotePrefix="0" xfId="0">
      <alignment horizontal="center" vertical="center"/>
    </xf>
    <xf numFmtId="165" fontId="19" fillId="13" borderId="2" applyAlignment="1" pivotButton="0" quotePrefix="0" xfId="0">
      <alignment horizontal="center" vertical="center"/>
    </xf>
    <xf numFmtId="164" fontId="21" fillId="13" borderId="2" applyAlignment="1" pivotButton="0" quotePrefix="0" xfId="0">
      <alignment horizontal="center" vertical="center"/>
    </xf>
    <xf numFmtId="164" fontId="19" fillId="13" borderId="2" applyAlignment="1" pivotButton="0" quotePrefix="0" xfId="0">
      <alignment horizontal="center" vertical="center"/>
    </xf>
    <xf numFmtId="0" fontId="21" fillId="13" borderId="2" applyAlignment="1" pivotButton="0" quotePrefix="0" xfId="0">
      <alignment horizontal="center" vertical="center"/>
    </xf>
    <xf numFmtId="0" fontId="6" fillId="7" borderId="0" applyAlignment="1" pivotButton="0" quotePrefix="0" xfId="0">
      <alignment horizontal="general" vertical="bottom"/>
    </xf>
    <xf numFmtId="0" fontId="22" fillId="7" borderId="2" applyAlignment="1" pivotButton="0" quotePrefix="0" xfId="0">
      <alignment horizontal="center" vertical="center"/>
    </xf>
    <xf numFmtId="165" fontId="22" fillId="7" borderId="2" applyAlignment="1" pivotButton="0" quotePrefix="0" xfId="0">
      <alignment horizontal="center" vertical="center"/>
    </xf>
    <xf numFmtId="164" fontId="22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14" borderId="3" applyAlignment="1" pivotButton="0" quotePrefix="0" xfId="0">
      <alignment horizontal="center" vertical="center"/>
    </xf>
    <xf numFmtId="0" fontId="23" fillId="12" borderId="4" applyAlignment="1" pivotButton="0" quotePrefix="0" xfId="0">
      <alignment horizontal="center" vertical="center"/>
    </xf>
    <xf numFmtId="0" fontId="0" fillId="0" borderId="17" pivotButton="0" quotePrefix="0" xfId="0"/>
    <xf numFmtId="0" fontId="24" fillId="3" borderId="0" applyAlignment="1" pivotButton="0" quotePrefix="0" xfId="0">
      <alignment horizontal="general" vertical="bottom"/>
    </xf>
    <xf numFmtId="0" fontId="25" fillId="11" borderId="2" applyAlignment="1" pivotButton="0" quotePrefix="0" xfId="0">
      <alignment horizontal="center" vertical="center"/>
    </xf>
    <xf numFmtId="0" fontId="26" fillId="11" borderId="2" applyAlignment="1" pivotButton="0" quotePrefix="0" xfId="0">
      <alignment horizontal="center" vertical="center"/>
    </xf>
    <xf numFmtId="0" fontId="27" fillId="12" borderId="2" applyAlignment="1" pivotButton="0" quotePrefix="0" xfId="0">
      <alignment horizontal="left" vertical="center"/>
    </xf>
    <xf numFmtId="3" fontId="28" fillId="13" borderId="2" applyAlignment="1" pivotButton="0" quotePrefix="0" xfId="0">
      <alignment horizontal="center" vertical="center"/>
    </xf>
    <xf numFmtId="0" fontId="24" fillId="15" borderId="0" applyAlignment="1" pivotButton="0" quotePrefix="0" xfId="0">
      <alignment horizontal="general" vertical="bottom"/>
    </xf>
    <xf numFmtId="0" fontId="25" fillId="11" borderId="2" applyAlignment="1" pivotButton="0" quotePrefix="0" xfId="0">
      <alignment horizontal="center" vertical="center" wrapText="1"/>
    </xf>
    <xf numFmtId="0" fontId="27" fillId="12" borderId="2" applyAlignment="1" pivotButton="0" quotePrefix="0" xfId="0">
      <alignment horizontal="general" vertical="bottom"/>
    </xf>
    <xf numFmtId="3" fontId="29" fillId="16" borderId="2" applyAlignment="1" pivotButton="0" quotePrefix="0" xfId="0">
      <alignment horizontal="center" vertical="center"/>
    </xf>
    <xf numFmtId="164" fontId="30" fillId="17" borderId="2" applyAlignment="1" pivotButton="0" quotePrefix="0" xfId="0">
      <alignment horizontal="center" vertical="center"/>
    </xf>
    <xf numFmtId="3" fontId="29" fillId="0" borderId="2" applyAlignment="1" pivotButton="0" quotePrefix="0" xfId="0">
      <alignment horizontal="center" vertical="center"/>
    </xf>
    <xf numFmtId="0" fontId="24" fillId="4" borderId="0" applyAlignment="1" pivotButton="0" quotePrefix="0" xfId="0">
      <alignment horizontal="general" vertical="bottom"/>
    </xf>
    <xf numFmtId="164" fontId="30" fillId="18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25" fillId="7" borderId="5" applyAlignment="1" pivotButton="0" quotePrefix="0" xfId="0">
      <alignment horizontal="center" vertical="center"/>
    </xf>
    <xf numFmtId="0" fontId="33" fillId="12" borderId="2" applyAlignment="1" pivotButton="0" quotePrefix="0" xfId="0">
      <alignment horizontal="left" vertical="center"/>
    </xf>
    <xf numFmtId="0" fontId="34" fillId="19" borderId="2" applyAlignment="1" pivotButton="0" quotePrefix="0" xfId="0">
      <alignment horizontal="center" vertical="center"/>
    </xf>
    <xf numFmtId="0" fontId="34" fillId="16" borderId="2" applyAlignment="1" pivotButton="0" quotePrefix="0" xfId="0">
      <alignment horizontal="center" vertical="center"/>
    </xf>
    <xf numFmtId="0" fontId="35" fillId="19" borderId="0" applyAlignment="1" pivotButton="0" quotePrefix="0" xfId="0">
      <alignment horizontal="center" vertical="center"/>
    </xf>
    <xf numFmtId="0" fontId="35" fillId="16" borderId="0" applyAlignment="1" pivotButton="0" quotePrefix="0" xfId="0">
      <alignment horizontal="center" vertical="center"/>
    </xf>
    <xf numFmtId="0" fontId="35" fillId="16" borderId="2" applyAlignment="1" pivotButton="0" quotePrefix="0" xfId="0">
      <alignment horizontal="center" vertical="center"/>
    </xf>
    <xf numFmtId="0" fontId="35" fillId="19" borderId="2" applyAlignment="1" pivotButton="0" quotePrefix="0" xfId="0">
      <alignment horizontal="center" vertical="center"/>
    </xf>
    <xf numFmtId="0" fontId="33" fillId="20" borderId="2" applyAlignment="1" pivotButton="0" quotePrefix="0" xfId="0">
      <alignment horizontal="left" vertical="center"/>
    </xf>
    <xf numFmtId="165" fontId="21" fillId="13" borderId="2" applyAlignment="1" pivotButton="0" quotePrefix="0" xfId="0">
      <alignment horizontal="center" vertical="center"/>
    </xf>
    <xf numFmtId="0" fontId="33" fillId="21" borderId="2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left" vertical="center"/>
    </xf>
    <xf numFmtId="164" fontId="0" fillId="16" borderId="2" applyAlignment="1" pivotButton="0" quotePrefix="0" xfId="0">
      <alignment horizontal="center" vertical="center"/>
    </xf>
    <xf numFmtId="166" fontId="0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36" fillId="22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left" vertical="center"/>
    </xf>
    <xf numFmtId="164" fontId="17" fillId="11" borderId="2" applyAlignment="1" pivotButton="0" quotePrefix="0" xfId="0">
      <alignment horizontal="center" vertical="center"/>
    </xf>
    <xf numFmtId="166" fontId="17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left" vertical="center" wrapText="1"/>
    </xf>
    <xf numFmtId="166" fontId="0" fillId="16" borderId="2" applyAlignment="1" pivotButton="0" quotePrefix="0" xfId="0">
      <alignment horizontal="left" vertical="center"/>
    </xf>
    <xf numFmtId="164" fontId="0" fillId="16" borderId="2" applyAlignment="1" pivotButton="0" quotePrefix="0" xfId="0">
      <alignment horizontal="left" vertical="center" wrapText="1"/>
    </xf>
    <xf numFmtId="166" fontId="0" fillId="16" borderId="2" applyAlignment="1" pivotButton="0" quotePrefix="0" xfId="0">
      <alignment horizontal="general" vertical="bottom"/>
    </xf>
    <xf numFmtId="0" fontId="0" fillId="19" borderId="2" applyAlignment="1" pivotButton="0" quotePrefix="0" xfId="0">
      <alignment horizontal="center" vertical="center"/>
    </xf>
    <xf numFmtId="166" fontId="0" fillId="19" borderId="2" applyAlignment="1" pivotButton="0" quotePrefix="0" xfId="0">
      <alignment horizontal="left" vertical="center"/>
    </xf>
    <xf numFmtId="164" fontId="0" fillId="19" borderId="2" applyAlignment="1" pivotButton="0" quotePrefix="0" xfId="0">
      <alignment horizontal="center" vertical="center"/>
    </xf>
    <xf numFmtId="166" fontId="0" fillId="19" borderId="2" applyAlignment="1" pivotButton="0" quotePrefix="0" xfId="0">
      <alignment horizontal="center" vertical="center"/>
    </xf>
    <xf numFmtId="164" fontId="0" fillId="19" borderId="2" applyAlignment="1" pivotButton="0" quotePrefix="0" xfId="0">
      <alignment horizontal="left" vertical="center" wrapText="1"/>
    </xf>
    <xf numFmtId="166" fontId="0" fillId="19" borderId="2" applyAlignment="1" pivotButton="0" quotePrefix="0" xfId="0">
      <alignment horizontal="general" vertical="bottom"/>
    </xf>
    <xf numFmtId="0" fontId="0" fillId="19" borderId="2" applyAlignment="1" pivotButton="0" quotePrefix="0" xfId="0">
      <alignment horizontal="general" vertical="bottom"/>
    </xf>
    <xf numFmtId="0" fontId="0" fillId="16" borderId="2" applyAlignment="1" pivotButton="0" quotePrefix="0" xfId="0">
      <alignment horizontal="general" vertical="bottom"/>
    </xf>
    <xf numFmtId="164" fontId="0" fillId="16" borderId="2" applyAlignment="1" pivotButton="0" quotePrefix="0" xfId="0">
      <alignment horizontal="general" vertical="bottom"/>
    </xf>
    <xf numFmtId="164" fontId="0" fillId="19" borderId="2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166" fontId="0" fillId="0" borderId="6" applyAlignment="1" pivotButton="0" quotePrefix="0" xfId="0">
      <alignment horizontal="general" vertical="bottom"/>
    </xf>
    <xf numFmtId="164" fontId="0" fillId="0" borderId="6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  <color rgb="FFFFFFFF"/>
      </font>
      <fill>
        <patternFill>
          <bgColor rgb="FF27AE60"/>
        </patternFill>
      </fill>
    </dxf>
    <dxf>
      <font>
        <b val="1"/>
        <color rgb="FFFFFFFF"/>
      </font>
      <fill>
        <patternFill>
          <bgColor rgb="FFFFA5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5DADE2"/>
      <rgbColor rgb="FF8E44AD"/>
      <rgbColor rgb="FFF8F9FA"/>
      <rgbColor rgb="FFD5F4E6"/>
      <rgbColor rgb="FF660066"/>
      <rgbColor rgb="FFFF6B6B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ECF0F1"/>
      <rgbColor rgb="FFFFEAA7"/>
      <rgbColor rgb="FF99CCFF"/>
      <rgbColor rgb="FFFF99CC"/>
      <rgbColor rgb="FFCC99FF"/>
      <rgbColor rgb="FFF9E79F"/>
      <rgbColor rgb="FF3498DB"/>
      <rgbColor rgb="FF2ECC71"/>
      <rgbColor rgb="FF99CC00"/>
      <rgbColor rgb="FFFFD700"/>
      <rgbColor rgb="FFFFA500"/>
      <rgbColor rgb="FFE67E22"/>
      <rgbColor rgb="FF9B59B6"/>
      <rgbColor rgb="FF969696"/>
      <rgbColor rgb="FF1F4E78"/>
      <rgbColor rgb="FF27AE60"/>
      <rgbColor rgb="FF003300"/>
      <rgbColor rgb="FF333300"/>
      <rgbColor rgb="FF993300"/>
      <rgbColor rgb="FFE74C3C"/>
      <rgbColor rgb="FF34495E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F1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102" min="1" max="1"/>
    <col width="6" customWidth="1" style="102" min="2" max="32"/>
  </cols>
  <sheetData>
    <row r="1" ht="39.75" customHeight="1" s="103">
      <c r="A1" s="104" t="inlineStr">
        <is>
          <t>📊 CRM DASHBOARD - ЦЕНТР УПРАВЛЕНИЯ ПРОДАЖАМИ</t>
        </is>
      </c>
    </row>
    <row r="3" ht="27.75" customHeight="1" s="103">
      <c r="A3" s="105" t="inlineStr">
        <is>
          <t>📈 КЛЮЧЕВЫЕ ПОКАЗАТЕЛИ - ОБЩАЯ СТАТИСТИКА</t>
        </is>
      </c>
    </row>
    <row r="5" ht="30" customHeight="1" s="103">
      <c r="B5" s="106" t="inlineStr">
        <is>
          <t xml:space="preserve"> ЛИДЫ</t>
        </is>
      </c>
      <c r="C5" s="107" t="n"/>
      <c r="E5" s="108" t="inlineStr">
        <is>
          <t xml:space="preserve"> НЕ ДОЗВОН</t>
        </is>
      </c>
      <c r="F5" s="107" t="n"/>
      <c r="H5" s="109" t="inlineStr">
        <is>
          <t xml:space="preserve"> ОЖИДАНИЕ</t>
        </is>
      </c>
      <c r="I5" s="107" t="n"/>
      <c r="K5" s="110" t="inlineStr">
        <is>
          <t xml:space="preserve"> ОТКАЗ</t>
        </is>
      </c>
      <c r="L5" s="107" t="n"/>
      <c r="N5" s="111" t="inlineStr">
        <is>
          <t>🎯 ПРОДАЖИ</t>
        </is>
      </c>
      <c r="O5" s="107" t="n"/>
    </row>
    <row r="6" ht="30" customHeight="1" s="103">
      <c r="B6" s="112">
        <f>SUM(B18:B37)</f>
        <v/>
      </c>
      <c r="C6" s="113" t="n"/>
      <c r="E6" s="114">
        <f>SUM(D18:D37)</f>
        <v/>
      </c>
      <c r="F6" s="113" t="n"/>
      <c r="H6" s="115">
        <f>SUM(E18:E37)</f>
        <v/>
      </c>
      <c r="I6" s="113" t="n"/>
      <c r="K6" s="116">
        <f>SUM(F18:F37)</f>
        <v/>
      </c>
      <c r="L6" s="113" t="n"/>
      <c r="N6" s="117">
        <f>SUM(G18:G37)</f>
        <v/>
      </c>
      <c r="O6" s="113" t="n"/>
    </row>
    <row r="7" ht="30" customHeight="1" s="103">
      <c r="B7" s="118" t="n"/>
      <c r="C7" s="119" t="n"/>
      <c r="E7" s="118" t="n"/>
      <c r="F7" s="119" t="n"/>
      <c r="H7" s="118" t="n"/>
      <c r="I7" s="119" t="n"/>
      <c r="K7" s="118" t="n"/>
      <c r="L7" s="119" t="n"/>
      <c r="N7" s="118" t="n"/>
      <c r="O7" s="119" t="n"/>
    </row>
    <row r="8" ht="30" customHeight="1" s="103">
      <c r="B8" s="120" t="n"/>
      <c r="C8" s="121" t="n"/>
      <c r="E8" s="120" t="n"/>
      <c r="F8" s="121" t="n"/>
      <c r="H8" s="120" t="n"/>
      <c r="I8" s="121" t="n"/>
      <c r="K8" s="120" t="n"/>
      <c r="L8" s="121" t="n"/>
      <c r="N8" s="120" t="n"/>
      <c r="O8" s="121" t="n"/>
    </row>
    <row r="9" ht="30" customHeight="1" s="103"/>
    <row r="10" ht="30" customHeight="1" s="103">
      <c r="A10" s="122" t="inlineStr">
        <is>
          <t>💰 ВЫРУЧКА</t>
        </is>
      </c>
      <c r="B10" s="123" t="n"/>
      <c r="C10" s="107" t="n"/>
      <c r="E10" s="124" t="inlineStr">
        <is>
          <t>📊 КОНВЕРСИЯ</t>
        </is>
      </c>
      <c r="F10" s="123" t="n"/>
      <c r="G10" s="107" t="n"/>
      <c r="I10" s="125" t="inlineStr">
        <is>
          <t>💵 СРЕДНИЙ ЧЕК</t>
        </is>
      </c>
      <c r="J10" s="123" t="n"/>
      <c r="K10" s="107" t="n"/>
      <c r="M10" s="109" t="inlineStr">
        <is>
          <t>💰 ОБЩИЙ ОСТАТОК</t>
        </is>
      </c>
      <c r="N10" s="123" t="n"/>
      <c r="O10" s="107" t="n"/>
    </row>
    <row r="11" ht="30" customHeight="1" s="103">
      <c r="A11" s="126">
        <f>SUM(I18:I37)</f>
        <v/>
      </c>
      <c r="B11" s="127" t="n"/>
      <c r="C11" s="113" t="n"/>
      <c r="E11" s="128">
        <f>IF(B6=0,0,N6/B6*100)</f>
        <v/>
      </c>
      <c r="F11" s="127" t="n"/>
      <c r="G11" s="113" t="n"/>
      <c r="I11" s="129">
        <f>IF(N6=0,0,A11/N6)</f>
        <v/>
      </c>
      <c r="J11" s="127" t="n"/>
      <c r="K11" s="113" t="n"/>
      <c r="M11" s="130">
        <f>SUM(K18:K37)</f>
        <v/>
      </c>
      <c r="N11" s="127" t="n"/>
      <c r="O11" s="113" t="n"/>
    </row>
    <row r="12" ht="30" customHeight="1" s="103">
      <c r="A12" s="118" t="n"/>
      <c r="C12" s="119" t="n"/>
      <c r="E12" s="118" t="n"/>
      <c r="G12" s="119" t="n"/>
      <c r="I12" s="118" t="n"/>
      <c r="K12" s="119" t="n"/>
      <c r="M12" s="118" t="n"/>
      <c r="O12" s="119" t="n"/>
    </row>
    <row r="13" ht="30" customHeight="1" s="103">
      <c r="A13" s="120" t="n"/>
      <c r="B13" s="131" t="n"/>
      <c r="C13" s="121" t="n"/>
      <c r="E13" s="120" t="n"/>
      <c r="F13" s="131" t="n"/>
      <c r="G13" s="121" t="n"/>
      <c r="I13" s="120" t="n"/>
      <c r="J13" s="131" t="n"/>
      <c r="K13" s="121" t="n"/>
      <c r="M13" s="120" t="n"/>
      <c r="N13" s="131" t="n"/>
      <c r="O13" s="121" t="n"/>
    </row>
    <row r="16" ht="24.75" customHeight="1" s="103">
      <c r="A16" s="132" t="inlineStr">
        <is>
          <t>👥 СВОДНАЯ СТАТИСТИКА ПО МЕНЕДЖЕРАМ</t>
        </is>
      </c>
    </row>
    <row r="17" ht="30" customHeight="1" s="103">
      <c r="A17" s="133" t="inlineStr">
        <is>
          <t>Менеджер</t>
        </is>
      </c>
      <c r="B17" s="133" t="inlineStr">
        <is>
          <t>Лиды</t>
        </is>
      </c>
      <c r="C17" s="133" t="inlineStr">
        <is>
          <t>Обработка</t>
        </is>
      </c>
      <c r="D17" s="133" t="inlineStr">
        <is>
          <t>Не дозвон</t>
        </is>
      </c>
      <c r="E17" s="133" t="inlineStr">
        <is>
          <t>Ожидание</t>
        </is>
      </c>
      <c r="F17" s="133" t="inlineStr">
        <is>
          <t>Отказ</t>
        </is>
      </c>
      <c r="G17" s="133" t="inlineStr">
        <is>
          <t>Продажи</t>
        </is>
      </c>
      <c r="H17" s="133" t="inlineStr">
        <is>
          <t>Конверсия</t>
        </is>
      </c>
      <c r="I17" s="133" t="inlineStr">
        <is>
          <t>Выручка</t>
        </is>
      </c>
      <c r="J17" s="133" t="inlineStr">
        <is>
          <t>Ср. чек</t>
        </is>
      </c>
      <c r="K17" s="133" t="inlineStr">
        <is>
          <t>Остаток</t>
        </is>
      </c>
      <c r="L17" s="102" t="inlineStr">
        <is>
          <t>Рейтинг</t>
        </is>
      </c>
    </row>
    <row r="18" ht="15" customHeight="1" s="103">
      <c r="A18" s="134" t="inlineStr">
        <is>
          <t>Менеджер 1</t>
        </is>
      </c>
      <c r="B18" s="135">
        <f>Mgr_1!AG4</f>
        <v/>
      </c>
      <c r="C18" s="135">
        <f>Mgr_1!AG5</f>
        <v/>
      </c>
      <c r="D18" s="135">
        <f>Mgr_1!AG6</f>
        <v/>
      </c>
      <c r="E18" s="135">
        <f>Mgr_1!AG7</f>
        <v/>
      </c>
      <c r="F18" s="135">
        <f>Mgr_1!AG8</f>
        <v/>
      </c>
      <c r="G18" s="136">
        <f>Mgr_1!AG9</f>
        <v/>
      </c>
      <c r="H18" s="137">
        <f>Mgr_1!AG11</f>
        <v/>
      </c>
      <c r="I18" s="138">
        <f>Mgr_1!AG10</f>
        <v/>
      </c>
      <c r="J18" s="139">
        <f>IF(G18=0,0,I18/G18)</f>
        <v/>
      </c>
      <c r="K18" s="139">
        <f>Mgr_1!AG12</f>
        <v/>
      </c>
      <c r="L18" s="140">
        <f>RANK(I18,I$18:I$37,0)</f>
        <v/>
      </c>
    </row>
    <row r="19" ht="15" customHeight="1" s="103">
      <c r="A19" s="134" t="inlineStr">
        <is>
          <t>Менеджер 2</t>
        </is>
      </c>
      <c r="B19" s="135">
        <f>Mgr_2!AG4</f>
        <v/>
      </c>
      <c r="C19" s="135">
        <f>Mgr_2!AG5</f>
        <v/>
      </c>
      <c r="D19" s="135">
        <f>Mgr_2!AG6</f>
        <v/>
      </c>
      <c r="E19" s="135">
        <f>Mgr_2!AG7</f>
        <v/>
      </c>
      <c r="F19" s="135">
        <f>Mgr_2!AG8</f>
        <v/>
      </c>
      <c r="G19" s="136">
        <f>Mgr_2!AG9</f>
        <v/>
      </c>
      <c r="H19" s="137">
        <f>Mgr_2!AG11</f>
        <v/>
      </c>
      <c r="I19" s="138">
        <f>Mgr_2!AG10</f>
        <v/>
      </c>
      <c r="J19" s="139">
        <f>IF(G19=0,0,I19/G19)</f>
        <v/>
      </c>
      <c r="K19" s="139">
        <f>Mgr_2!AG12</f>
        <v/>
      </c>
      <c r="L19" s="140">
        <f>RANK(I19,I$18:I$37,0)</f>
        <v/>
      </c>
    </row>
    <row r="20" ht="15" customHeight="1" s="103">
      <c r="A20" s="134" t="inlineStr">
        <is>
          <t>Менеджер 3</t>
        </is>
      </c>
      <c r="B20" s="135">
        <f>Mgr_3!AG4</f>
        <v/>
      </c>
      <c r="C20" s="135">
        <f>Mgr_3!AG5</f>
        <v/>
      </c>
      <c r="D20" s="135">
        <f>Mgr_3!AG6</f>
        <v/>
      </c>
      <c r="E20" s="135">
        <f>Mgr_3!AG7</f>
        <v/>
      </c>
      <c r="F20" s="135">
        <f>Mgr_3!AG8</f>
        <v/>
      </c>
      <c r="G20" s="136">
        <f>Mgr_3!AG9</f>
        <v/>
      </c>
      <c r="H20" s="137">
        <f>Mgr_3!AG11</f>
        <v/>
      </c>
      <c r="I20" s="138">
        <f>Mgr_3!AG10</f>
        <v/>
      </c>
      <c r="J20" s="139">
        <f>IF(G20=0,0,I20/G20)</f>
        <v/>
      </c>
      <c r="K20" s="139">
        <f>Mgr_3!AG12</f>
        <v/>
      </c>
      <c r="L20" s="140">
        <f>RANK(I20,I$18:I$37,0)</f>
        <v/>
      </c>
    </row>
    <row r="21" ht="15" customHeight="1" s="103">
      <c r="A21" s="134" t="inlineStr">
        <is>
          <t>Менеджер 4</t>
        </is>
      </c>
      <c r="B21" s="135">
        <f>Mgr_4!AG4</f>
        <v/>
      </c>
      <c r="C21" s="135">
        <f>Mgr_4!AG5</f>
        <v/>
      </c>
      <c r="D21" s="135">
        <f>Mgr_4!AG6</f>
        <v/>
      </c>
      <c r="E21" s="135">
        <f>Mgr_4!AG7</f>
        <v/>
      </c>
      <c r="F21" s="135">
        <f>Mgr_4!AG8</f>
        <v/>
      </c>
      <c r="G21" s="136">
        <f>Mgr_4!AG9</f>
        <v/>
      </c>
      <c r="H21" s="137">
        <f>Mgr_4!AG11</f>
        <v/>
      </c>
      <c r="I21" s="138">
        <f>Mgr_4!AG10</f>
        <v/>
      </c>
      <c r="J21" s="139">
        <f>IF(G21=0,0,I21/G21)</f>
        <v/>
      </c>
      <c r="K21" s="139">
        <f>Mgr_4!AG12</f>
        <v/>
      </c>
      <c r="L21" s="140">
        <f>RANK(I21,I$18:I$37,0)</f>
        <v/>
      </c>
    </row>
    <row r="22" ht="15" customHeight="1" s="103">
      <c r="A22" s="134" t="inlineStr">
        <is>
          <t>Менеджер 5</t>
        </is>
      </c>
      <c r="B22" s="135">
        <f>Mgr_5!AG4</f>
        <v/>
      </c>
      <c r="C22" s="135">
        <f>Mgr_5!AG5</f>
        <v/>
      </c>
      <c r="D22" s="135">
        <f>Mgr_5!AG6</f>
        <v/>
      </c>
      <c r="E22" s="135">
        <f>Mgr_5!AG7</f>
        <v/>
      </c>
      <c r="F22" s="135">
        <f>Mgr_5!AG8</f>
        <v/>
      </c>
      <c r="G22" s="136">
        <f>Mgr_5!AG9</f>
        <v/>
      </c>
      <c r="H22" s="137">
        <f>Mgr_5!AG11</f>
        <v/>
      </c>
      <c r="I22" s="138">
        <f>Mgr_5!AG10</f>
        <v/>
      </c>
      <c r="J22" s="139">
        <f>IF(G22=0,0,I22/G22)</f>
        <v/>
      </c>
      <c r="K22" s="139">
        <f>Mgr_5!AG12</f>
        <v/>
      </c>
      <c r="L22" s="140">
        <f>RANK(I22,I$18:I$37,0)</f>
        <v/>
      </c>
    </row>
    <row r="23" ht="15" customHeight="1" s="103">
      <c r="A23" s="134" t="inlineStr">
        <is>
          <t>Менеджер 6</t>
        </is>
      </c>
      <c r="B23" s="135">
        <f>Mgr_6!AG4</f>
        <v/>
      </c>
      <c r="C23" s="135">
        <f>Mgr_6!AG5</f>
        <v/>
      </c>
      <c r="D23" s="135">
        <f>Mgr_6!AG6</f>
        <v/>
      </c>
      <c r="E23" s="135">
        <f>Mgr_6!AG7</f>
        <v/>
      </c>
      <c r="F23" s="135">
        <f>Mgr_6!AG8</f>
        <v/>
      </c>
      <c r="G23" s="136">
        <f>Mgr_6!AG9</f>
        <v/>
      </c>
      <c r="H23" s="137">
        <f>Mgr_6!AG11</f>
        <v/>
      </c>
      <c r="I23" s="138">
        <f>Mgr_6!AG10</f>
        <v/>
      </c>
      <c r="J23" s="139">
        <f>IF(G23=0,0,I23/G23)</f>
        <v/>
      </c>
      <c r="K23" s="139">
        <f>Mgr_6!AG12</f>
        <v/>
      </c>
      <c r="L23" s="140">
        <f>RANK(I23,I$18:I$37,0)</f>
        <v/>
      </c>
    </row>
    <row r="24" ht="15" customHeight="1" s="103">
      <c r="A24" s="134" t="inlineStr">
        <is>
          <t>Менеджер 7</t>
        </is>
      </c>
      <c r="B24" s="135">
        <f>Mgr_7!AG4</f>
        <v/>
      </c>
      <c r="C24" s="135">
        <f>Mgr_7!AG5</f>
        <v/>
      </c>
      <c r="D24" s="135">
        <f>Mgr_7!AG6</f>
        <v/>
      </c>
      <c r="E24" s="135">
        <f>Mgr_7!AG7</f>
        <v/>
      </c>
      <c r="F24" s="135">
        <f>Mgr_7!AG8</f>
        <v/>
      </c>
      <c r="G24" s="136">
        <f>Mgr_7!AG9</f>
        <v/>
      </c>
      <c r="H24" s="137">
        <f>Mgr_7!AG11</f>
        <v/>
      </c>
      <c r="I24" s="138">
        <f>Mgr_7!AG10</f>
        <v/>
      </c>
      <c r="J24" s="139">
        <f>IF(G24=0,0,I24/G24)</f>
        <v/>
      </c>
      <c r="K24" s="139">
        <f>Mgr_7!AG12</f>
        <v/>
      </c>
      <c r="L24" s="140">
        <f>RANK(I24,I$18:I$37,0)</f>
        <v/>
      </c>
    </row>
    <row r="25" ht="15" customHeight="1" s="103">
      <c r="A25" s="134" t="inlineStr">
        <is>
          <t>Менеджер 8</t>
        </is>
      </c>
      <c r="B25" s="135">
        <f>Mgr_8!AG4</f>
        <v/>
      </c>
      <c r="C25" s="135">
        <f>Mgr_8!AG5</f>
        <v/>
      </c>
      <c r="D25" s="135">
        <f>Mgr_8!AG6</f>
        <v/>
      </c>
      <c r="E25" s="135">
        <f>Mgr_8!AG7</f>
        <v/>
      </c>
      <c r="F25" s="135">
        <f>Mgr_8!AG8</f>
        <v/>
      </c>
      <c r="G25" s="136">
        <f>Mgr_8!AG9</f>
        <v/>
      </c>
      <c r="H25" s="137">
        <f>Mgr_8!AG11</f>
        <v/>
      </c>
      <c r="I25" s="138">
        <f>Mgr_8!AG10</f>
        <v/>
      </c>
      <c r="J25" s="139">
        <f>IF(G25=0,0,I25/G25)</f>
        <v/>
      </c>
      <c r="K25" s="139">
        <f>Mgr_8!AG12</f>
        <v/>
      </c>
      <c r="L25" s="140">
        <f>RANK(I25,I$18:I$37,0)</f>
        <v/>
      </c>
    </row>
    <row r="26" ht="15" customHeight="1" s="103">
      <c r="A26" s="134" t="inlineStr">
        <is>
          <t>Менеджер 9</t>
        </is>
      </c>
      <c r="B26" s="135">
        <f>Mgr_9!AG4</f>
        <v/>
      </c>
      <c r="C26" s="135">
        <f>Mgr_9!AG5</f>
        <v/>
      </c>
      <c r="D26" s="135">
        <f>Mgr_9!AG6</f>
        <v/>
      </c>
      <c r="E26" s="135">
        <f>Mgr_9!AG7</f>
        <v/>
      </c>
      <c r="F26" s="135">
        <f>Mgr_9!AG8</f>
        <v/>
      </c>
      <c r="G26" s="136">
        <f>Mgr_9!AG9</f>
        <v/>
      </c>
      <c r="H26" s="137">
        <f>Mgr_9!AG11</f>
        <v/>
      </c>
      <c r="I26" s="138">
        <f>Mgr_9!AG10</f>
        <v/>
      </c>
      <c r="J26" s="139">
        <f>IF(G26=0,0,I26/G26)</f>
        <v/>
      </c>
      <c r="K26" s="139">
        <f>Mgr_9!AG12</f>
        <v/>
      </c>
      <c r="L26" s="140">
        <f>RANK(I26,I$18:I$37,0)</f>
        <v/>
      </c>
    </row>
    <row r="27" ht="15" customHeight="1" s="103">
      <c r="A27" s="134" t="inlineStr">
        <is>
          <t>Менеджер 10</t>
        </is>
      </c>
      <c r="B27" s="135">
        <f>Mgr_10!AG4</f>
        <v/>
      </c>
      <c r="C27" s="135">
        <f>Mgr_10!AG5</f>
        <v/>
      </c>
      <c r="D27" s="135">
        <f>Mgr_10!AG6</f>
        <v/>
      </c>
      <c r="E27" s="135">
        <f>Mgr_10!AG7</f>
        <v/>
      </c>
      <c r="F27" s="135">
        <f>Mgr_10!AG8</f>
        <v/>
      </c>
      <c r="G27" s="136">
        <f>Mgr_10!AG9</f>
        <v/>
      </c>
      <c r="H27" s="137">
        <f>Mgr_10!AG11</f>
        <v/>
      </c>
      <c r="I27" s="138">
        <f>Mgr_10!AG10</f>
        <v/>
      </c>
      <c r="J27" s="139">
        <f>IF(G27=0,0,I27/G27)</f>
        <v/>
      </c>
      <c r="K27" s="139">
        <f>Mgr_10!AG12</f>
        <v/>
      </c>
      <c r="L27" s="140">
        <f>RANK(I27,I$18:I$37,0)</f>
        <v/>
      </c>
    </row>
    <row r="28" ht="15" customHeight="1" s="103">
      <c r="A28" s="134" t="inlineStr">
        <is>
          <t>Менеджер 11</t>
        </is>
      </c>
      <c r="B28" s="135">
        <f>Mgr_11!AG4</f>
        <v/>
      </c>
      <c r="C28" s="135">
        <f>Mgr_11!AG5</f>
        <v/>
      </c>
      <c r="D28" s="135">
        <f>Mgr_11!AG6</f>
        <v/>
      </c>
      <c r="E28" s="135">
        <f>Mgr_11!AG7</f>
        <v/>
      </c>
      <c r="F28" s="135">
        <f>Mgr_11!AG8</f>
        <v/>
      </c>
      <c r="G28" s="136">
        <f>Mgr_11!AG9</f>
        <v/>
      </c>
      <c r="H28" s="137">
        <f>Mgr_11!AG11</f>
        <v/>
      </c>
      <c r="I28" s="138">
        <f>Mgr_11!AG10</f>
        <v/>
      </c>
      <c r="J28" s="139">
        <f>IF(G28=0,0,I28/G28)</f>
        <v/>
      </c>
      <c r="K28" s="139">
        <f>Mgr_11!AG12</f>
        <v/>
      </c>
      <c r="L28" s="140">
        <f>RANK(I28,I$18:I$37,0)</f>
        <v/>
      </c>
    </row>
    <row r="29" ht="15" customHeight="1" s="103">
      <c r="A29" s="134" t="inlineStr">
        <is>
          <t>Менеджер 12</t>
        </is>
      </c>
      <c r="B29" s="135">
        <f>Mgr_12!AG4</f>
        <v/>
      </c>
      <c r="C29" s="135">
        <f>Mgr_12!AG5</f>
        <v/>
      </c>
      <c r="D29" s="135">
        <f>Mgr_12!AG6</f>
        <v/>
      </c>
      <c r="E29" s="135">
        <f>Mgr_12!AG7</f>
        <v/>
      </c>
      <c r="F29" s="135">
        <f>Mgr_12!AG8</f>
        <v/>
      </c>
      <c r="G29" s="136">
        <f>Mgr_12!AG9</f>
        <v/>
      </c>
      <c r="H29" s="137">
        <f>Mgr_12!AG11</f>
        <v/>
      </c>
      <c r="I29" s="138">
        <f>Mgr_12!AG10</f>
        <v/>
      </c>
      <c r="J29" s="139">
        <f>IF(G29=0,0,I29/G29)</f>
        <v/>
      </c>
      <c r="K29" s="139">
        <f>Mgr_12!AG12</f>
        <v/>
      </c>
      <c r="L29" s="140">
        <f>RANK(I29,I$18:I$37,0)</f>
        <v/>
      </c>
    </row>
    <row r="30" ht="15" customHeight="1" s="103">
      <c r="A30" s="134" t="inlineStr">
        <is>
          <t>Менеджер 13</t>
        </is>
      </c>
      <c r="B30" s="135">
        <f>Mgr_13!AG4</f>
        <v/>
      </c>
      <c r="C30" s="135">
        <f>Mgr_13!AG5</f>
        <v/>
      </c>
      <c r="D30" s="135">
        <f>Mgr_13!AG6</f>
        <v/>
      </c>
      <c r="E30" s="135">
        <f>Mgr_13!AG7</f>
        <v/>
      </c>
      <c r="F30" s="135">
        <f>Mgr_13!AG8</f>
        <v/>
      </c>
      <c r="G30" s="136">
        <f>Mgr_13!AG9</f>
        <v/>
      </c>
      <c r="H30" s="137">
        <f>Mgr_13!AG11</f>
        <v/>
      </c>
      <c r="I30" s="138">
        <f>Mgr_13!AG10</f>
        <v/>
      </c>
      <c r="J30" s="139">
        <f>IF(G30=0,0,I30/G30)</f>
        <v/>
      </c>
      <c r="K30" s="139">
        <f>Mgr_13!AG12</f>
        <v/>
      </c>
      <c r="L30" s="140">
        <f>RANK(I30,I$18:I$37,0)</f>
        <v/>
      </c>
    </row>
    <row r="31" ht="15" customHeight="1" s="103">
      <c r="A31" s="134" t="inlineStr">
        <is>
          <t>Менеджер 14</t>
        </is>
      </c>
      <c r="B31" s="135">
        <f>Mgr_14!AG4</f>
        <v/>
      </c>
      <c r="C31" s="135">
        <f>Mgr_14!AG5</f>
        <v/>
      </c>
      <c r="D31" s="135">
        <f>Mgr_14!AG6</f>
        <v/>
      </c>
      <c r="E31" s="135">
        <f>Mgr_14!AG7</f>
        <v/>
      </c>
      <c r="F31" s="135">
        <f>Mgr_14!AG8</f>
        <v/>
      </c>
      <c r="G31" s="136">
        <f>Mgr_14!AG9</f>
        <v/>
      </c>
      <c r="H31" s="137">
        <f>Mgr_14!AG11</f>
        <v/>
      </c>
      <c r="I31" s="138">
        <f>Mgr_14!AG10</f>
        <v/>
      </c>
      <c r="J31" s="139">
        <f>IF(G31=0,0,I31/G31)</f>
        <v/>
      </c>
      <c r="K31" s="139">
        <f>Mgr_14!AG12</f>
        <v/>
      </c>
      <c r="L31" s="140">
        <f>RANK(I31,I$18:I$37,0)</f>
        <v/>
      </c>
    </row>
    <row r="32" ht="15" customHeight="1" s="103">
      <c r="A32" s="134" t="inlineStr">
        <is>
          <t>Менеджер 15</t>
        </is>
      </c>
      <c r="B32" s="135">
        <f>Mgr_15!AG4</f>
        <v/>
      </c>
      <c r="C32" s="135">
        <f>Mgr_15!AG5</f>
        <v/>
      </c>
      <c r="D32" s="135">
        <f>Mgr_15!AG6</f>
        <v/>
      </c>
      <c r="E32" s="135">
        <f>Mgr_15!AG7</f>
        <v/>
      </c>
      <c r="F32" s="135">
        <f>Mgr_15!AG8</f>
        <v/>
      </c>
      <c r="G32" s="136">
        <f>Mgr_15!AG9</f>
        <v/>
      </c>
      <c r="H32" s="137">
        <f>Mgr_15!AG11</f>
        <v/>
      </c>
      <c r="I32" s="138">
        <f>Mgr_15!AG10</f>
        <v/>
      </c>
      <c r="J32" s="139">
        <f>IF(G32=0,0,I32/G32)</f>
        <v/>
      </c>
      <c r="K32" s="139">
        <f>Mgr_15!AG12</f>
        <v/>
      </c>
      <c r="L32" s="140">
        <f>RANK(I32,I$18:I$37,0)</f>
        <v/>
      </c>
    </row>
    <row r="33" ht="15" customHeight="1" s="103">
      <c r="A33" s="134" t="inlineStr">
        <is>
          <t>Менеджер 16</t>
        </is>
      </c>
      <c r="B33" s="135">
        <f>Mgr_16!AG4</f>
        <v/>
      </c>
      <c r="C33" s="135">
        <f>Mgr_16!AG5</f>
        <v/>
      </c>
      <c r="D33" s="135">
        <f>Mgr_16!AG6</f>
        <v/>
      </c>
      <c r="E33" s="135">
        <f>Mgr_16!AG7</f>
        <v/>
      </c>
      <c r="F33" s="135">
        <f>Mgr_16!AG8</f>
        <v/>
      </c>
      <c r="G33" s="136">
        <f>Mgr_16!AG9</f>
        <v/>
      </c>
      <c r="H33" s="137">
        <f>Mgr_16!AG11</f>
        <v/>
      </c>
      <c r="I33" s="138">
        <f>Mgr_16!AG10</f>
        <v/>
      </c>
      <c r="J33" s="139">
        <f>IF(G33=0,0,I33/G33)</f>
        <v/>
      </c>
      <c r="K33" s="139">
        <f>Mgr_16!AG12</f>
        <v/>
      </c>
      <c r="L33" s="140">
        <f>RANK(I33,I$18:I$37,0)</f>
        <v/>
      </c>
    </row>
    <row r="34" ht="15" customHeight="1" s="103">
      <c r="A34" s="134" t="inlineStr">
        <is>
          <t>Менеджер 17</t>
        </is>
      </c>
      <c r="B34" s="135">
        <f>Mgr_17!AG4</f>
        <v/>
      </c>
      <c r="C34" s="135">
        <f>Mgr_17!AG5</f>
        <v/>
      </c>
      <c r="D34" s="135">
        <f>Mgr_17!AG6</f>
        <v/>
      </c>
      <c r="E34" s="135">
        <f>Mgr_17!AG7</f>
        <v/>
      </c>
      <c r="F34" s="135">
        <f>Mgr_17!AG8</f>
        <v/>
      </c>
      <c r="G34" s="136">
        <f>Mgr_17!AG9</f>
        <v/>
      </c>
      <c r="H34" s="137">
        <f>Mgr_17!AG11</f>
        <v/>
      </c>
      <c r="I34" s="138">
        <f>Mgr_17!AG10</f>
        <v/>
      </c>
      <c r="J34" s="139">
        <f>IF(G34=0,0,I34/G34)</f>
        <v/>
      </c>
      <c r="K34" s="139">
        <f>Mgr_17!AG12</f>
        <v/>
      </c>
      <c r="L34" s="140">
        <f>RANK(I34,I$18:I$37,0)</f>
        <v/>
      </c>
    </row>
    <row r="35" ht="15" customHeight="1" s="103">
      <c r="A35" s="134" t="inlineStr">
        <is>
          <t>Менеджер 18</t>
        </is>
      </c>
      <c r="B35" s="135">
        <f>Mgr_18!AG4</f>
        <v/>
      </c>
      <c r="C35" s="135">
        <f>Mgr_18!AG5</f>
        <v/>
      </c>
      <c r="D35" s="135">
        <f>Mgr_18!AG6</f>
        <v/>
      </c>
      <c r="E35" s="135">
        <f>Mgr_18!AG7</f>
        <v/>
      </c>
      <c r="F35" s="135">
        <f>Mgr_18!AG8</f>
        <v/>
      </c>
      <c r="G35" s="136">
        <f>Mgr_18!AG9</f>
        <v/>
      </c>
      <c r="H35" s="137">
        <f>Mgr_18!AG11</f>
        <v/>
      </c>
      <c r="I35" s="138">
        <f>Mgr_18!AG10</f>
        <v/>
      </c>
      <c r="J35" s="139">
        <f>IF(G35=0,0,I35/G35)</f>
        <v/>
      </c>
      <c r="K35" s="139">
        <f>Mgr_18!AG12</f>
        <v/>
      </c>
      <c r="L35" s="140">
        <f>RANK(I35,I$18:I$37,0)</f>
        <v/>
      </c>
    </row>
    <row r="36" ht="15" customHeight="1" s="103">
      <c r="A36" s="134" t="inlineStr">
        <is>
          <t>Менеджер 19</t>
        </is>
      </c>
      <c r="B36" s="135">
        <f>Mgr_19!AG4</f>
        <v/>
      </c>
      <c r="C36" s="135">
        <f>Mgr_19!AG5</f>
        <v/>
      </c>
      <c r="D36" s="135">
        <f>Mgr_19!AG6</f>
        <v/>
      </c>
      <c r="E36" s="135">
        <f>Mgr_19!AG7</f>
        <v/>
      </c>
      <c r="F36" s="135">
        <f>Mgr_19!AG8</f>
        <v/>
      </c>
      <c r="G36" s="136">
        <f>Mgr_19!AG9</f>
        <v/>
      </c>
      <c r="H36" s="137">
        <f>Mgr_19!AG11</f>
        <v/>
      </c>
      <c r="I36" s="138">
        <f>Mgr_19!AG10</f>
        <v/>
      </c>
      <c r="J36" s="139">
        <f>IF(G36=0,0,I36/G36)</f>
        <v/>
      </c>
      <c r="K36" s="139">
        <f>Mgr_19!AG12</f>
        <v/>
      </c>
      <c r="L36" s="140">
        <f>RANK(I36,I$18:I$37,0)</f>
        <v/>
      </c>
    </row>
    <row r="37" ht="15" customHeight="1" s="103">
      <c r="A37" s="134" t="inlineStr">
        <is>
          <t>Менеджер 20</t>
        </is>
      </c>
      <c r="B37" s="135">
        <f>Mgr_20!AG4</f>
        <v/>
      </c>
      <c r="C37" s="135">
        <f>Mgr_20!AG5</f>
        <v/>
      </c>
      <c r="D37" s="135">
        <f>Mgr_20!AG6</f>
        <v/>
      </c>
      <c r="E37" s="135">
        <f>Mgr_20!AG7</f>
        <v/>
      </c>
      <c r="F37" s="135">
        <f>Mgr_20!AG8</f>
        <v/>
      </c>
      <c r="G37" s="136">
        <f>Mgr_20!AG9</f>
        <v/>
      </c>
      <c r="H37" s="137">
        <f>Mgr_20!AG11</f>
        <v/>
      </c>
      <c r="I37" s="138">
        <f>Mgr_20!AG10</f>
        <v/>
      </c>
      <c r="J37" s="139">
        <f>IF(G37=0,0,I37/G37)</f>
        <v/>
      </c>
      <c r="K37" s="139">
        <f>Mgr_20!AG12</f>
        <v/>
      </c>
      <c r="L37" s="140">
        <f>RANK(I37,I$18:I$37,0)</f>
        <v/>
      </c>
    </row>
    <row r="38" ht="15" customHeight="1" s="103">
      <c r="A38" s="141" t="inlineStr">
        <is>
          <t>ИТОГО</t>
        </is>
      </c>
      <c r="B38" s="142">
        <f>SUM(B18:B37)</f>
        <v/>
      </c>
      <c r="C38" s="142">
        <f>SUM(C18:C37)</f>
        <v/>
      </c>
      <c r="D38" s="142">
        <f>SUM(D18:D37)</f>
        <v/>
      </c>
      <c r="E38" s="142">
        <f>SUM(E18:E37)</f>
        <v/>
      </c>
      <c r="F38" s="142">
        <f>SUM(F18:F37)</f>
        <v/>
      </c>
      <c r="G38" s="142">
        <f>SUM(G18:G37)</f>
        <v/>
      </c>
      <c r="H38" s="143">
        <f>IF(B38=0,0,G38/B38*100)</f>
        <v/>
      </c>
      <c r="I38" s="144">
        <f>SUM(I18:I37)</f>
        <v/>
      </c>
      <c r="J38" s="144">
        <f>IF(G38=0,0,I38/G38)</f>
        <v/>
      </c>
      <c r="K38" s="144">
        <f>SUM(K18:K37)</f>
        <v/>
      </c>
      <c r="L38" s="145" t="inlineStr">
        <is>
          <t>-</t>
        </is>
      </c>
    </row>
    <row r="41" ht="27.75" customHeight="1" s="103">
      <c r="A41" s="146" t="inlineStr">
        <is>
          <t>🏆 РЕЙТИНГ ПРОДАВЦОВ</t>
        </is>
      </c>
    </row>
    <row r="43" ht="30" customHeight="1" s="103">
      <c r="B43" s="147" t="inlineStr">
        <is>
          <t>📅 ПО ДНЯМ ▼</t>
        </is>
      </c>
      <c r="C43" s="123" t="n"/>
      <c r="D43" s="123" t="n"/>
      <c r="F43" s="148" t="inlineStr">
        <is>
          <t>📆 ПО НЕДЕЛЯМ</t>
        </is>
      </c>
      <c r="G43" s="149" t="n"/>
      <c r="H43" s="149" t="n"/>
      <c r="J43" s="148" t="inlineStr">
        <is>
          <t>📊 ПО МЕСЯЦАМ</t>
        </is>
      </c>
      <c r="K43" s="149" t="n"/>
      <c r="L43" s="149" t="n"/>
    </row>
    <row r="45" ht="24.75" customHeight="1" s="103">
      <c r="A45" s="150" t="inlineStr">
        <is>
          <t>📅 РЕЙТИНГ ПО ДНЯМ МЕСЯЦА (ВЫРУЧКА)</t>
        </is>
      </c>
    </row>
    <row r="46" ht="24.75" customHeight="1" s="103">
      <c r="A46" s="151" t="inlineStr">
        <is>
          <t>Менеджер</t>
        </is>
      </c>
      <c r="B46" s="152" t="inlineStr">
        <is>
          <t>02</t>
        </is>
      </c>
      <c r="C46" s="152" t="inlineStr">
        <is>
          <t>03</t>
        </is>
      </c>
      <c r="D46" s="152" t="inlineStr">
        <is>
          <t>04</t>
        </is>
      </c>
      <c r="E46" s="152" t="inlineStr">
        <is>
          <t>05</t>
        </is>
      </c>
      <c r="F46" s="152" t="inlineStr">
        <is>
          <t>06</t>
        </is>
      </c>
      <c r="G46" s="152" t="inlineStr">
        <is>
          <t>07</t>
        </is>
      </c>
      <c r="H46" s="152" t="inlineStr">
        <is>
          <t>08</t>
        </is>
      </c>
      <c r="I46" s="152" t="inlineStr">
        <is>
          <t>09</t>
        </is>
      </c>
      <c r="J46" s="152" t="inlineStr">
        <is>
          <t>10</t>
        </is>
      </c>
      <c r="K46" s="152" t="inlineStr">
        <is>
          <t>11</t>
        </is>
      </c>
      <c r="L46" s="152" t="inlineStr">
        <is>
          <t>12</t>
        </is>
      </c>
      <c r="M46" s="152" t="inlineStr">
        <is>
          <t>13</t>
        </is>
      </c>
      <c r="N46" s="152" t="inlineStr">
        <is>
          <t>14</t>
        </is>
      </c>
      <c r="O46" s="152" t="inlineStr">
        <is>
          <t>15</t>
        </is>
      </c>
      <c r="P46" s="152" t="inlineStr">
        <is>
          <t>16</t>
        </is>
      </c>
      <c r="Q46" s="152" t="inlineStr">
        <is>
          <t>17</t>
        </is>
      </c>
      <c r="R46" s="152" t="inlineStr">
        <is>
          <t>17</t>
        </is>
      </c>
      <c r="S46" s="152" t="inlineStr">
        <is>
          <t>18</t>
        </is>
      </c>
      <c r="T46" s="152" t="inlineStr">
        <is>
          <t>19</t>
        </is>
      </c>
      <c r="U46" s="152" t="inlineStr">
        <is>
          <t>20</t>
        </is>
      </c>
      <c r="V46" s="152" t="inlineStr">
        <is>
          <t>21</t>
        </is>
      </c>
      <c r="W46" s="152" t="inlineStr">
        <is>
          <t>22</t>
        </is>
      </c>
      <c r="X46" s="152" t="inlineStr">
        <is>
          <t>23</t>
        </is>
      </c>
      <c r="Y46" s="152" t="inlineStr">
        <is>
          <t>24</t>
        </is>
      </c>
      <c r="Z46" s="152" t="inlineStr">
        <is>
          <t>25</t>
        </is>
      </c>
      <c r="AA46" s="152" t="inlineStr">
        <is>
          <t>26</t>
        </is>
      </c>
      <c r="AB46" s="152" t="inlineStr">
        <is>
          <t>27</t>
        </is>
      </c>
      <c r="AC46" s="152" t="inlineStr">
        <is>
          <t>28</t>
        </is>
      </c>
      <c r="AD46" s="152" t="inlineStr">
        <is>
          <t>29</t>
        </is>
      </c>
      <c r="AE46" s="152" t="inlineStr">
        <is>
          <t>30</t>
        </is>
      </c>
      <c r="AF46" s="152" t="inlineStr">
        <is>
          <t>31</t>
        </is>
      </c>
    </row>
    <row r="47" ht="15" customHeight="1" s="103">
      <c r="A47" s="153" t="inlineStr">
        <is>
          <t>Менеджер 1</t>
        </is>
      </c>
      <c r="B47" s="154">
        <f>Mgr_1!B10</f>
        <v/>
      </c>
      <c r="C47" s="154">
        <f>Mgr_1!C10</f>
        <v/>
      </c>
      <c r="D47" s="154">
        <f>Mgr_1!D10</f>
        <v/>
      </c>
      <c r="E47" s="154">
        <f>Mgr_1!E10</f>
        <v/>
      </c>
      <c r="F47" s="154">
        <f>Mgr_1!F10</f>
        <v/>
      </c>
      <c r="G47" s="154">
        <f>Mgr_1!G10</f>
        <v/>
      </c>
      <c r="H47" s="154">
        <f>Mgr_1!H10</f>
        <v/>
      </c>
      <c r="I47" s="154">
        <f>Mgr_1!I10</f>
        <v/>
      </c>
      <c r="J47" s="154">
        <f>Mgr_1!J10</f>
        <v/>
      </c>
      <c r="K47" s="154">
        <f>Mgr_1!K10</f>
        <v/>
      </c>
      <c r="L47" s="154">
        <f>Mgr_1!L10</f>
        <v/>
      </c>
      <c r="M47" s="154">
        <f>Mgr_1!M10</f>
        <v/>
      </c>
      <c r="N47" s="154">
        <f>Mgr_1!N10</f>
        <v/>
      </c>
      <c r="O47" s="154">
        <f>Mgr_1!O10</f>
        <v/>
      </c>
      <c r="P47" s="154">
        <f>Mgr_1!P10</f>
        <v/>
      </c>
      <c r="Q47" s="154">
        <f>Mgr_1!Q10</f>
        <v/>
      </c>
      <c r="R47" s="154">
        <f>Mgr_1!R10</f>
        <v/>
      </c>
      <c r="S47" s="154">
        <f>Mgr_1!S10</f>
        <v/>
      </c>
      <c r="T47" s="154">
        <f>Mgr_1!T10</f>
        <v/>
      </c>
      <c r="U47" s="154">
        <f>Mgr_1!U10</f>
        <v/>
      </c>
      <c r="V47" s="154">
        <f>Mgr_1!V10</f>
        <v/>
      </c>
      <c r="W47" s="154">
        <f>Mgr_1!W10</f>
        <v/>
      </c>
      <c r="X47" s="154">
        <f>Mgr_1!X10</f>
        <v/>
      </c>
      <c r="Y47" s="154">
        <f>Mgr_1!Y10</f>
        <v/>
      </c>
      <c r="Z47" s="154">
        <f>Mgr_1!Z10</f>
        <v/>
      </c>
      <c r="AA47" s="154">
        <f>Mgr_1!AA10</f>
        <v/>
      </c>
      <c r="AB47" s="154">
        <f>Mgr_1!AB10</f>
        <v/>
      </c>
      <c r="AC47" s="154">
        <f>Mgr_1!AC10</f>
        <v/>
      </c>
      <c r="AD47" s="154">
        <f>Mgr_1!AD10</f>
        <v/>
      </c>
      <c r="AE47" s="154">
        <f>Mgr_1!AE10</f>
        <v/>
      </c>
      <c r="AF47" s="154">
        <f>Mgr_1!AF10</f>
        <v/>
      </c>
    </row>
    <row r="48" ht="15" customHeight="1" s="103">
      <c r="A48" s="153" t="inlineStr">
        <is>
          <t>Менеджер 2</t>
        </is>
      </c>
      <c r="B48" s="154">
        <f>Mgr_2!B10</f>
        <v/>
      </c>
      <c r="C48" s="154">
        <f>Mgr_2!C10</f>
        <v/>
      </c>
      <c r="D48" s="154">
        <f>Mgr_2!D10</f>
        <v/>
      </c>
      <c r="E48" s="154">
        <f>Mgr_2!E10</f>
        <v/>
      </c>
      <c r="F48" s="154">
        <f>Mgr_2!F10</f>
        <v/>
      </c>
      <c r="G48" s="154">
        <f>Mgr_2!G10</f>
        <v/>
      </c>
      <c r="H48" s="154">
        <f>Mgr_2!H10</f>
        <v/>
      </c>
      <c r="I48" s="154">
        <f>Mgr_2!I10</f>
        <v/>
      </c>
      <c r="J48" s="154">
        <f>Mgr_2!J10</f>
        <v/>
      </c>
      <c r="K48" s="154">
        <f>Mgr_2!K10</f>
        <v/>
      </c>
      <c r="L48" s="154">
        <f>Mgr_2!L10</f>
        <v/>
      </c>
      <c r="M48" s="154">
        <f>Mgr_2!M10</f>
        <v/>
      </c>
      <c r="N48" s="154">
        <f>Mgr_2!N10</f>
        <v/>
      </c>
      <c r="O48" s="154">
        <f>Mgr_2!O10</f>
        <v/>
      </c>
      <c r="P48" s="154">
        <f>Mgr_2!P10</f>
        <v/>
      </c>
      <c r="Q48" s="154">
        <f>Mgr_2!Q10</f>
        <v/>
      </c>
      <c r="R48" s="154">
        <f>Mgr_2!R10</f>
        <v/>
      </c>
      <c r="S48" s="154">
        <f>Mgr_2!S10</f>
        <v/>
      </c>
      <c r="T48" s="154">
        <f>Mgr_2!T10</f>
        <v/>
      </c>
      <c r="U48" s="154">
        <f>Mgr_2!U10</f>
        <v/>
      </c>
      <c r="V48" s="154">
        <f>Mgr_2!V10</f>
        <v/>
      </c>
      <c r="W48" s="154">
        <f>Mgr_2!W10</f>
        <v/>
      </c>
      <c r="X48" s="154">
        <f>Mgr_2!X10</f>
        <v/>
      </c>
      <c r="Y48" s="154">
        <f>Mgr_2!Y10</f>
        <v/>
      </c>
      <c r="Z48" s="154">
        <f>Mgr_2!Z10</f>
        <v/>
      </c>
      <c r="AA48" s="154">
        <f>Mgr_2!AA10</f>
        <v/>
      </c>
      <c r="AB48" s="154">
        <f>Mgr_2!AB10</f>
        <v/>
      </c>
      <c r="AC48" s="154">
        <f>Mgr_2!AC10</f>
        <v/>
      </c>
      <c r="AD48" s="154">
        <f>Mgr_2!AD10</f>
        <v/>
      </c>
      <c r="AE48" s="154">
        <f>Mgr_2!AE10</f>
        <v/>
      </c>
      <c r="AF48" s="154">
        <f>Mgr_2!AF10</f>
        <v/>
      </c>
    </row>
    <row r="49" ht="15" customHeight="1" s="103">
      <c r="A49" s="153" t="inlineStr">
        <is>
          <t>Менеджер 3</t>
        </is>
      </c>
      <c r="B49" s="154">
        <f>Mgr_3!B10</f>
        <v/>
      </c>
      <c r="C49" s="154">
        <f>Mgr_3!C10</f>
        <v/>
      </c>
      <c r="D49" s="154">
        <f>Mgr_3!D10</f>
        <v/>
      </c>
      <c r="E49" s="154">
        <f>Mgr_3!E10</f>
        <v/>
      </c>
      <c r="F49" s="154">
        <f>Mgr_3!F10</f>
        <v/>
      </c>
      <c r="G49" s="154">
        <f>Mgr_3!G10</f>
        <v/>
      </c>
      <c r="H49" s="154">
        <f>Mgr_3!H10</f>
        <v/>
      </c>
      <c r="I49" s="154">
        <f>Mgr_3!I10</f>
        <v/>
      </c>
      <c r="J49" s="154">
        <f>Mgr_3!J10</f>
        <v/>
      </c>
      <c r="K49" s="154">
        <f>Mgr_3!K10</f>
        <v/>
      </c>
      <c r="L49" s="154">
        <f>Mgr_3!L10</f>
        <v/>
      </c>
      <c r="M49" s="154">
        <f>Mgr_3!M10</f>
        <v/>
      </c>
      <c r="N49" s="154">
        <f>Mgr_3!N10</f>
        <v/>
      </c>
      <c r="O49" s="154">
        <f>Mgr_3!O10</f>
        <v/>
      </c>
      <c r="P49" s="154">
        <f>Mgr_3!P10</f>
        <v/>
      </c>
      <c r="Q49" s="154">
        <f>Mgr_3!Q10</f>
        <v/>
      </c>
      <c r="R49" s="154">
        <f>Mgr_3!R10</f>
        <v/>
      </c>
      <c r="S49" s="154">
        <f>Mgr_3!S10</f>
        <v/>
      </c>
      <c r="T49" s="154">
        <f>Mgr_3!T10</f>
        <v/>
      </c>
      <c r="U49" s="154">
        <f>Mgr_3!U10</f>
        <v/>
      </c>
      <c r="V49" s="154">
        <f>Mgr_3!V10</f>
        <v/>
      </c>
      <c r="W49" s="154">
        <f>Mgr_3!W10</f>
        <v/>
      </c>
      <c r="X49" s="154">
        <f>Mgr_3!X10</f>
        <v/>
      </c>
      <c r="Y49" s="154">
        <f>Mgr_3!Y10</f>
        <v/>
      </c>
      <c r="Z49" s="154">
        <f>Mgr_3!Z10</f>
        <v/>
      </c>
      <c r="AA49" s="154">
        <f>Mgr_3!AA10</f>
        <v/>
      </c>
      <c r="AB49" s="154">
        <f>Mgr_3!AB10</f>
        <v/>
      </c>
      <c r="AC49" s="154">
        <f>Mgr_3!AC10</f>
        <v/>
      </c>
      <c r="AD49" s="154">
        <f>Mgr_3!AD10</f>
        <v/>
      </c>
      <c r="AE49" s="154">
        <f>Mgr_3!AE10</f>
        <v/>
      </c>
      <c r="AF49" s="154">
        <f>Mgr_3!AF10</f>
        <v/>
      </c>
    </row>
    <row r="50" ht="15" customHeight="1" s="103">
      <c r="A50" s="153" t="inlineStr">
        <is>
          <t>Менеджер 4</t>
        </is>
      </c>
      <c r="B50" s="154">
        <f>Mgr_4!B10</f>
        <v/>
      </c>
      <c r="C50" s="154">
        <f>Mgr_4!C10</f>
        <v/>
      </c>
      <c r="D50" s="154">
        <f>Mgr_4!D10</f>
        <v/>
      </c>
      <c r="E50" s="154">
        <f>Mgr_4!E10</f>
        <v/>
      </c>
      <c r="F50" s="154">
        <f>Mgr_4!F10</f>
        <v/>
      </c>
      <c r="G50" s="154">
        <f>Mgr_4!G10</f>
        <v/>
      </c>
      <c r="H50" s="154">
        <f>Mgr_4!H10</f>
        <v/>
      </c>
      <c r="I50" s="154">
        <f>Mgr_4!I10</f>
        <v/>
      </c>
      <c r="J50" s="154">
        <f>Mgr_4!J10</f>
        <v/>
      </c>
      <c r="K50" s="154">
        <f>Mgr_4!K10</f>
        <v/>
      </c>
      <c r="L50" s="154">
        <f>Mgr_4!L10</f>
        <v/>
      </c>
      <c r="M50" s="154">
        <f>Mgr_4!M10</f>
        <v/>
      </c>
      <c r="N50" s="154">
        <f>Mgr_4!N10</f>
        <v/>
      </c>
      <c r="O50" s="154">
        <f>Mgr_4!O10</f>
        <v/>
      </c>
      <c r="P50" s="154">
        <f>Mgr_4!P10</f>
        <v/>
      </c>
      <c r="Q50" s="154">
        <f>Mgr_4!Q10</f>
        <v/>
      </c>
      <c r="R50" s="154">
        <f>Mgr_4!R10</f>
        <v/>
      </c>
      <c r="S50" s="154">
        <f>Mgr_4!S10</f>
        <v/>
      </c>
      <c r="T50" s="154">
        <f>Mgr_4!T10</f>
        <v/>
      </c>
      <c r="U50" s="154">
        <f>Mgr_4!U10</f>
        <v/>
      </c>
      <c r="V50" s="154">
        <f>Mgr_4!V10</f>
        <v/>
      </c>
      <c r="W50" s="154">
        <f>Mgr_4!W10</f>
        <v/>
      </c>
      <c r="X50" s="154">
        <f>Mgr_4!X10</f>
        <v/>
      </c>
      <c r="Y50" s="154">
        <f>Mgr_4!Y10</f>
        <v/>
      </c>
      <c r="Z50" s="154">
        <f>Mgr_4!Z10</f>
        <v/>
      </c>
      <c r="AA50" s="154">
        <f>Mgr_4!AA10</f>
        <v/>
      </c>
      <c r="AB50" s="154">
        <f>Mgr_4!AB10</f>
        <v/>
      </c>
      <c r="AC50" s="154">
        <f>Mgr_4!AC10</f>
        <v/>
      </c>
      <c r="AD50" s="154">
        <f>Mgr_4!AD10</f>
        <v/>
      </c>
      <c r="AE50" s="154">
        <f>Mgr_4!AE10</f>
        <v/>
      </c>
      <c r="AF50" s="154">
        <f>Mgr_4!AF10</f>
        <v/>
      </c>
    </row>
    <row r="51" ht="15" customHeight="1" s="103">
      <c r="A51" s="153" t="inlineStr">
        <is>
          <t>Менеджер 5</t>
        </is>
      </c>
      <c r="B51" s="154">
        <f>Mgr_5!B10</f>
        <v/>
      </c>
      <c r="C51" s="154">
        <f>Mgr_5!C10</f>
        <v/>
      </c>
      <c r="D51" s="154">
        <f>Mgr_5!D10</f>
        <v/>
      </c>
      <c r="E51" s="154">
        <f>Mgr_5!E10</f>
        <v/>
      </c>
      <c r="F51" s="154">
        <f>Mgr_5!F10</f>
        <v/>
      </c>
      <c r="G51" s="154">
        <f>Mgr_5!G10</f>
        <v/>
      </c>
      <c r="H51" s="154">
        <f>Mgr_5!H10</f>
        <v/>
      </c>
      <c r="I51" s="154">
        <f>Mgr_5!I10</f>
        <v/>
      </c>
      <c r="J51" s="154">
        <f>Mgr_5!J10</f>
        <v/>
      </c>
      <c r="K51" s="154">
        <f>Mgr_5!K10</f>
        <v/>
      </c>
      <c r="L51" s="154">
        <f>Mgr_5!L10</f>
        <v/>
      </c>
      <c r="M51" s="154">
        <f>Mgr_5!M10</f>
        <v/>
      </c>
      <c r="N51" s="154">
        <f>Mgr_5!N10</f>
        <v/>
      </c>
      <c r="O51" s="154">
        <f>Mgr_5!O10</f>
        <v/>
      </c>
      <c r="P51" s="154">
        <f>Mgr_5!P10</f>
        <v/>
      </c>
      <c r="Q51" s="154">
        <f>Mgr_5!Q10</f>
        <v/>
      </c>
      <c r="R51" s="154">
        <f>Mgr_5!R10</f>
        <v/>
      </c>
      <c r="S51" s="154">
        <f>Mgr_5!S10</f>
        <v/>
      </c>
      <c r="T51" s="154">
        <f>Mgr_5!T10</f>
        <v/>
      </c>
      <c r="U51" s="154">
        <f>Mgr_5!U10</f>
        <v/>
      </c>
      <c r="V51" s="154">
        <f>Mgr_5!V10</f>
        <v/>
      </c>
      <c r="W51" s="154">
        <f>Mgr_5!W10</f>
        <v/>
      </c>
      <c r="X51" s="154">
        <f>Mgr_5!X10</f>
        <v/>
      </c>
      <c r="Y51" s="154">
        <f>Mgr_5!Y10</f>
        <v/>
      </c>
      <c r="Z51" s="154">
        <f>Mgr_5!Z10</f>
        <v/>
      </c>
      <c r="AA51" s="154">
        <f>Mgr_5!AA10</f>
        <v/>
      </c>
      <c r="AB51" s="154">
        <f>Mgr_5!AB10</f>
        <v/>
      </c>
      <c r="AC51" s="154">
        <f>Mgr_5!AC10</f>
        <v/>
      </c>
      <c r="AD51" s="154">
        <f>Mgr_5!AD10</f>
        <v/>
      </c>
      <c r="AE51" s="154">
        <f>Mgr_5!AE10</f>
        <v/>
      </c>
      <c r="AF51" s="154">
        <f>Mgr_5!AF10</f>
        <v/>
      </c>
    </row>
    <row r="52" ht="15" customHeight="1" s="103">
      <c r="A52" s="153" t="inlineStr">
        <is>
          <t>Менеджер 6</t>
        </is>
      </c>
      <c r="B52" s="154">
        <f>Mgr_6!B10</f>
        <v/>
      </c>
      <c r="C52" s="154">
        <f>Mgr_6!C10</f>
        <v/>
      </c>
      <c r="D52" s="154">
        <f>Mgr_6!D10</f>
        <v/>
      </c>
      <c r="E52" s="154">
        <f>Mgr_6!E10</f>
        <v/>
      </c>
      <c r="F52" s="154">
        <f>Mgr_6!F10</f>
        <v/>
      </c>
      <c r="G52" s="154">
        <f>Mgr_6!G10</f>
        <v/>
      </c>
      <c r="H52" s="154">
        <f>Mgr_6!H10</f>
        <v/>
      </c>
      <c r="I52" s="154">
        <f>Mgr_6!I10</f>
        <v/>
      </c>
      <c r="J52" s="154">
        <f>Mgr_6!J10</f>
        <v/>
      </c>
      <c r="K52" s="154">
        <f>Mgr_6!K10</f>
        <v/>
      </c>
      <c r="L52" s="154">
        <f>Mgr_6!L10</f>
        <v/>
      </c>
      <c r="M52" s="154">
        <f>Mgr_6!M10</f>
        <v/>
      </c>
      <c r="N52" s="154">
        <f>Mgr_6!N10</f>
        <v/>
      </c>
      <c r="O52" s="154">
        <f>Mgr_6!O10</f>
        <v/>
      </c>
      <c r="P52" s="154">
        <f>Mgr_6!P10</f>
        <v/>
      </c>
      <c r="Q52" s="154">
        <f>Mgr_6!Q10</f>
        <v/>
      </c>
      <c r="R52" s="154">
        <f>Mgr_6!R10</f>
        <v/>
      </c>
      <c r="S52" s="154">
        <f>Mgr_6!S10</f>
        <v/>
      </c>
      <c r="T52" s="154">
        <f>Mgr_6!T10</f>
        <v/>
      </c>
      <c r="U52" s="154">
        <f>Mgr_6!U10</f>
        <v/>
      </c>
      <c r="V52" s="154">
        <f>Mgr_6!V10</f>
        <v/>
      </c>
      <c r="W52" s="154">
        <f>Mgr_6!W10</f>
        <v/>
      </c>
      <c r="X52" s="154">
        <f>Mgr_6!X10</f>
        <v/>
      </c>
      <c r="Y52" s="154">
        <f>Mgr_6!Y10</f>
        <v/>
      </c>
      <c r="Z52" s="154">
        <f>Mgr_6!Z10</f>
        <v/>
      </c>
      <c r="AA52" s="154">
        <f>Mgr_6!AA10</f>
        <v/>
      </c>
      <c r="AB52" s="154">
        <f>Mgr_6!AB10</f>
        <v/>
      </c>
      <c r="AC52" s="154">
        <f>Mgr_6!AC10</f>
        <v/>
      </c>
      <c r="AD52" s="154">
        <f>Mgr_6!AD10</f>
        <v/>
      </c>
      <c r="AE52" s="154">
        <f>Mgr_6!AE10</f>
        <v/>
      </c>
      <c r="AF52" s="154">
        <f>Mgr_6!AF10</f>
        <v/>
      </c>
    </row>
    <row r="53" ht="15" customHeight="1" s="103">
      <c r="A53" s="153" t="inlineStr">
        <is>
          <t>Менеджер 7</t>
        </is>
      </c>
      <c r="B53" s="154">
        <f>Mgr_7!B10</f>
        <v/>
      </c>
      <c r="C53" s="154">
        <f>Mgr_7!C10</f>
        <v/>
      </c>
      <c r="D53" s="154">
        <f>Mgr_7!D10</f>
        <v/>
      </c>
      <c r="E53" s="154">
        <f>Mgr_7!E10</f>
        <v/>
      </c>
      <c r="F53" s="154">
        <f>Mgr_7!F10</f>
        <v/>
      </c>
      <c r="G53" s="154">
        <f>Mgr_7!G10</f>
        <v/>
      </c>
      <c r="H53" s="154">
        <f>Mgr_7!H10</f>
        <v/>
      </c>
      <c r="I53" s="154">
        <f>Mgr_7!I10</f>
        <v/>
      </c>
      <c r="J53" s="154">
        <f>Mgr_7!J10</f>
        <v/>
      </c>
      <c r="K53" s="154">
        <f>Mgr_7!K10</f>
        <v/>
      </c>
      <c r="L53" s="154">
        <f>Mgr_7!L10</f>
        <v/>
      </c>
      <c r="M53" s="154">
        <f>Mgr_7!M10</f>
        <v/>
      </c>
      <c r="N53" s="154">
        <f>Mgr_7!N10</f>
        <v/>
      </c>
      <c r="O53" s="154">
        <f>Mgr_7!O10</f>
        <v/>
      </c>
      <c r="P53" s="154">
        <f>Mgr_7!P10</f>
        <v/>
      </c>
      <c r="Q53" s="154">
        <f>Mgr_7!Q10</f>
        <v/>
      </c>
      <c r="R53" s="154">
        <f>Mgr_7!R10</f>
        <v/>
      </c>
      <c r="S53" s="154">
        <f>Mgr_7!S10</f>
        <v/>
      </c>
      <c r="T53" s="154">
        <f>Mgr_7!T10</f>
        <v/>
      </c>
      <c r="U53" s="154">
        <f>Mgr_7!U10</f>
        <v/>
      </c>
      <c r="V53" s="154">
        <f>Mgr_7!V10</f>
        <v/>
      </c>
      <c r="W53" s="154">
        <f>Mgr_7!W10</f>
        <v/>
      </c>
      <c r="X53" s="154">
        <f>Mgr_7!X10</f>
        <v/>
      </c>
      <c r="Y53" s="154">
        <f>Mgr_7!Y10</f>
        <v/>
      </c>
      <c r="Z53" s="154">
        <f>Mgr_7!Z10</f>
        <v/>
      </c>
      <c r="AA53" s="154">
        <f>Mgr_7!AA10</f>
        <v/>
      </c>
      <c r="AB53" s="154">
        <f>Mgr_7!AB10</f>
        <v/>
      </c>
      <c r="AC53" s="154">
        <f>Mgr_7!AC10</f>
        <v/>
      </c>
      <c r="AD53" s="154">
        <f>Mgr_7!AD10</f>
        <v/>
      </c>
      <c r="AE53" s="154">
        <f>Mgr_7!AE10</f>
        <v/>
      </c>
      <c r="AF53" s="154">
        <f>Mgr_7!AF10</f>
        <v/>
      </c>
    </row>
    <row r="54" ht="15" customHeight="1" s="103">
      <c r="A54" s="153" t="inlineStr">
        <is>
          <t>Менеджер 8</t>
        </is>
      </c>
      <c r="B54" s="154">
        <f>Mgr_8!B10</f>
        <v/>
      </c>
      <c r="C54" s="154">
        <f>Mgr_8!C10</f>
        <v/>
      </c>
      <c r="D54" s="154">
        <f>Mgr_8!D10</f>
        <v/>
      </c>
      <c r="E54" s="154">
        <f>Mgr_8!E10</f>
        <v/>
      </c>
      <c r="F54" s="154">
        <f>Mgr_8!F10</f>
        <v/>
      </c>
      <c r="G54" s="154">
        <f>Mgr_8!G10</f>
        <v/>
      </c>
      <c r="H54" s="154">
        <f>Mgr_8!H10</f>
        <v/>
      </c>
      <c r="I54" s="154">
        <f>Mgr_8!I10</f>
        <v/>
      </c>
      <c r="J54" s="154">
        <f>Mgr_8!J10</f>
        <v/>
      </c>
      <c r="K54" s="154">
        <f>Mgr_8!K10</f>
        <v/>
      </c>
      <c r="L54" s="154">
        <f>Mgr_8!L10</f>
        <v/>
      </c>
      <c r="M54" s="154">
        <f>Mgr_8!M10</f>
        <v/>
      </c>
      <c r="N54" s="154">
        <f>Mgr_8!N10</f>
        <v/>
      </c>
      <c r="O54" s="154">
        <f>Mgr_8!O10</f>
        <v/>
      </c>
      <c r="P54" s="154">
        <f>Mgr_8!P10</f>
        <v/>
      </c>
      <c r="Q54" s="154">
        <f>Mgr_8!Q10</f>
        <v/>
      </c>
      <c r="R54" s="154">
        <f>Mgr_8!R10</f>
        <v/>
      </c>
      <c r="S54" s="154">
        <f>Mgr_8!S10</f>
        <v/>
      </c>
      <c r="T54" s="154">
        <f>Mgr_8!T10</f>
        <v/>
      </c>
      <c r="U54" s="154">
        <f>Mgr_8!U10</f>
        <v/>
      </c>
      <c r="V54" s="154">
        <f>Mgr_8!V10</f>
        <v/>
      </c>
      <c r="W54" s="154">
        <f>Mgr_8!W10</f>
        <v/>
      </c>
      <c r="X54" s="154">
        <f>Mgr_8!X10</f>
        <v/>
      </c>
      <c r="Y54" s="154">
        <f>Mgr_8!Y10</f>
        <v/>
      </c>
      <c r="Z54" s="154">
        <f>Mgr_8!Z10</f>
        <v/>
      </c>
      <c r="AA54" s="154">
        <f>Mgr_8!AA10</f>
        <v/>
      </c>
      <c r="AB54" s="154">
        <f>Mgr_8!AB10</f>
        <v/>
      </c>
      <c r="AC54" s="154">
        <f>Mgr_8!AC10</f>
        <v/>
      </c>
      <c r="AD54" s="154">
        <f>Mgr_8!AD10</f>
        <v/>
      </c>
      <c r="AE54" s="154">
        <f>Mgr_8!AE10</f>
        <v/>
      </c>
      <c r="AF54" s="154">
        <f>Mgr_8!AF10</f>
        <v/>
      </c>
    </row>
    <row r="55" ht="15" customHeight="1" s="103">
      <c r="A55" s="153" t="inlineStr">
        <is>
          <t>Менеджер 9</t>
        </is>
      </c>
      <c r="B55" s="154">
        <f>Mgr_9!B10</f>
        <v/>
      </c>
      <c r="C55" s="154">
        <f>Mgr_9!C10</f>
        <v/>
      </c>
      <c r="D55" s="154">
        <f>Mgr_9!D10</f>
        <v/>
      </c>
      <c r="E55" s="154">
        <f>Mgr_9!E10</f>
        <v/>
      </c>
      <c r="F55" s="154">
        <f>Mgr_9!F10</f>
        <v/>
      </c>
      <c r="G55" s="154">
        <f>Mgr_9!G10</f>
        <v/>
      </c>
      <c r="H55" s="154">
        <f>Mgr_9!H10</f>
        <v/>
      </c>
      <c r="I55" s="154">
        <f>Mgr_9!I10</f>
        <v/>
      </c>
      <c r="J55" s="154">
        <f>Mgr_9!J10</f>
        <v/>
      </c>
      <c r="K55" s="154">
        <f>Mgr_9!K10</f>
        <v/>
      </c>
      <c r="L55" s="154">
        <f>Mgr_9!L10</f>
        <v/>
      </c>
      <c r="M55" s="154">
        <f>Mgr_9!M10</f>
        <v/>
      </c>
      <c r="N55" s="154">
        <f>Mgr_9!N10</f>
        <v/>
      </c>
      <c r="O55" s="154">
        <f>Mgr_9!O10</f>
        <v/>
      </c>
      <c r="P55" s="154">
        <f>Mgr_9!P10</f>
        <v/>
      </c>
      <c r="Q55" s="154">
        <f>Mgr_9!Q10</f>
        <v/>
      </c>
      <c r="R55" s="154">
        <f>Mgr_9!R10</f>
        <v/>
      </c>
      <c r="S55" s="154">
        <f>Mgr_9!S10</f>
        <v/>
      </c>
      <c r="T55" s="154">
        <f>Mgr_9!T10</f>
        <v/>
      </c>
      <c r="U55" s="154">
        <f>Mgr_9!U10</f>
        <v/>
      </c>
      <c r="V55" s="154">
        <f>Mgr_9!V10</f>
        <v/>
      </c>
      <c r="W55" s="154">
        <f>Mgr_9!W10</f>
        <v/>
      </c>
      <c r="X55" s="154">
        <f>Mgr_9!X10</f>
        <v/>
      </c>
      <c r="Y55" s="154">
        <f>Mgr_9!Y10</f>
        <v/>
      </c>
      <c r="Z55" s="154">
        <f>Mgr_9!Z10</f>
        <v/>
      </c>
      <c r="AA55" s="154">
        <f>Mgr_9!AA10</f>
        <v/>
      </c>
      <c r="AB55" s="154">
        <f>Mgr_9!AB10</f>
        <v/>
      </c>
      <c r="AC55" s="154">
        <f>Mgr_9!AC10</f>
        <v/>
      </c>
      <c r="AD55" s="154">
        <f>Mgr_9!AD10</f>
        <v/>
      </c>
      <c r="AE55" s="154">
        <f>Mgr_9!AE10</f>
        <v/>
      </c>
      <c r="AF55" s="154">
        <f>Mgr_9!AF10</f>
        <v/>
      </c>
    </row>
    <row r="56" ht="15" customHeight="1" s="103">
      <c r="A56" s="153" t="inlineStr">
        <is>
          <t>Менеджер 10</t>
        </is>
      </c>
      <c r="B56" s="154">
        <f>Mgr_10!B10</f>
        <v/>
      </c>
      <c r="C56" s="154">
        <f>Mgr_10!C10</f>
        <v/>
      </c>
      <c r="D56" s="154">
        <f>Mgr_10!D10</f>
        <v/>
      </c>
      <c r="E56" s="154">
        <f>Mgr_10!E10</f>
        <v/>
      </c>
      <c r="F56" s="154">
        <f>Mgr_10!F10</f>
        <v/>
      </c>
      <c r="G56" s="154">
        <f>Mgr_10!G10</f>
        <v/>
      </c>
      <c r="H56" s="154">
        <f>Mgr_10!H10</f>
        <v/>
      </c>
      <c r="I56" s="154">
        <f>Mgr_10!I10</f>
        <v/>
      </c>
      <c r="J56" s="154">
        <f>Mgr_10!J10</f>
        <v/>
      </c>
      <c r="K56" s="154">
        <f>Mgr_10!K10</f>
        <v/>
      </c>
      <c r="L56" s="154">
        <f>Mgr_10!L10</f>
        <v/>
      </c>
      <c r="M56" s="154">
        <f>Mgr_10!M10</f>
        <v/>
      </c>
      <c r="N56" s="154">
        <f>Mgr_10!N10</f>
        <v/>
      </c>
      <c r="O56" s="154">
        <f>Mgr_10!O10</f>
        <v/>
      </c>
      <c r="P56" s="154">
        <f>Mgr_10!P10</f>
        <v/>
      </c>
      <c r="Q56" s="154">
        <f>Mgr_10!Q10</f>
        <v/>
      </c>
      <c r="R56" s="154">
        <f>Mgr_10!R10</f>
        <v/>
      </c>
      <c r="S56" s="154">
        <f>Mgr_10!S10</f>
        <v/>
      </c>
      <c r="T56" s="154">
        <f>Mgr_10!T10</f>
        <v/>
      </c>
      <c r="U56" s="154">
        <f>Mgr_10!U10</f>
        <v/>
      </c>
      <c r="V56" s="154">
        <f>Mgr_10!V10</f>
        <v/>
      </c>
      <c r="W56" s="154">
        <f>Mgr_10!W10</f>
        <v/>
      </c>
      <c r="X56" s="154">
        <f>Mgr_10!X10</f>
        <v/>
      </c>
      <c r="Y56" s="154">
        <f>Mgr_10!Y10</f>
        <v/>
      </c>
      <c r="Z56" s="154">
        <f>Mgr_10!Z10</f>
        <v/>
      </c>
      <c r="AA56" s="154">
        <f>Mgr_10!AA10</f>
        <v/>
      </c>
      <c r="AB56" s="154">
        <f>Mgr_10!AB10</f>
        <v/>
      </c>
      <c r="AC56" s="154">
        <f>Mgr_10!AC10</f>
        <v/>
      </c>
      <c r="AD56" s="154">
        <f>Mgr_10!AD10</f>
        <v/>
      </c>
      <c r="AE56" s="154">
        <f>Mgr_10!AE10</f>
        <v/>
      </c>
      <c r="AF56" s="154">
        <f>Mgr_10!AF10</f>
        <v/>
      </c>
    </row>
    <row r="57" ht="15" customHeight="1" s="103">
      <c r="A57" s="153" t="inlineStr">
        <is>
          <t>Менеджер 11</t>
        </is>
      </c>
      <c r="B57" s="154">
        <f>Mgr_11!B10</f>
        <v/>
      </c>
      <c r="C57" s="154">
        <f>Mgr_11!C10</f>
        <v/>
      </c>
      <c r="D57" s="154">
        <f>Mgr_11!D10</f>
        <v/>
      </c>
      <c r="E57" s="154">
        <f>Mgr_11!E10</f>
        <v/>
      </c>
      <c r="F57" s="154">
        <f>Mgr_11!F10</f>
        <v/>
      </c>
      <c r="G57" s="154">
        <f>Mgr_11!G10</f>
        <v/>
      </c>
      <c r="H57" s="154">
        <f>Mgr_11!H10</f>
        <v/>
      </c>
      <c r="I57" s="154">
        <f>Mgr_11!I10</f>
        <v/>
      </c>
      <c r="J57" s="154">
        <f>Mgr_11!J10</f>
        <v/>
      </c>
      <c r="K57" s="154">
        <f>Mgr_11!K10</f>
        <v/>
      </c>
      <c r="L57" s="154">
        <f>Mgr_11!L10</f>
        <v/>
      </c>
      <c r="M57" s="154">
        <f>Mgr_11!M10</f>
        <v/>
      </c>
      <c r="N57" s="154">
        <f>Mgr_11!N10</f>
        <v/>
      </c>
      <c r="O57" s="154">
        <f>Mgr_11!O10</f>
        <v/>
      </c>
      <c r="P57" s="154">
        <f>Mgr_11!P10</f>
        <v/>
      </c>
      <c r="Q57" s="154">
        <f>Mgr_11!Q10</f>
        <v/>
      </c>
      <c r="R57" s="154">
        <f>Mgr_11!R10</f>
        <v/>
      </c>
      <c r="S57" s="154">
        <f>Mgr_11!S10</f>
        <v/>
      </c>
      <c r="T57" s="154">
        <f>Mgr_11!T10</f>
        <v/>
      </c>
      <c r="U57" s="154">
        <f>Mgr_11!U10</f>
        <v/>
      </c>
      <c r="V57" s="154">
        <f>Mgr_11!V10</f>
        <v/>
      </c>
      <c r="W57" s="154">
        <f>Mgr_11!W10</f>
        <v/>
      </c>
      <c r="X57" s="154">
        <f>Mgr_11!X10</f>
        <v/>
      </c>
      <c r="Y57" s="154">
        <f>Mgr_11!Y10</f>
        <v/>
      </c>
      <c r="Z57" s="154">
        <f>Mgr_11!Z10</f>
        <v/>
      </c>
      <c r="AA57" s="154">
        <f>Mgr_11!AA10</f>
        <v/>
      </c>
      <c r="AB57" s="154">
        <f>Mgr_11!AB10</f>
        <v/>
      </c>
      <c r="AC57" s="154">
        <f>Mgr_11!AC10</f>
        <v/>
      </c>
      <c r="AD57" s="154">
        <f>Mgr_11!AD10</f>
        <v/>
      </c>
      <c r="AE57" s="154">
        <f>Mgr_11!AE10</f>
        <v/>
      </c>
      <c r="AF57" s="154">
        <f>Mgr_11!AF10</f>
        <v/>
      </c>
    </row>
    <row r="58" ht="15" customHeight="1" s="103">
      <c r="A58" s="153" t="inlineStr">
        <is>
          <t>Менеджер 12</t>
        </is>
      </c>
      <c r="B58" s="154">
        <f>Mgr_12!B10</f>
        <v/>
      </c>
      <c r="C58" s="154">
        <f>Mgr_12!C10</f>
        <v/>
      </c>
      <c r="D58" s="154">
        <f>Mgr_12!D10</f>
        <v/>
      </c>
      <c r="E58" s="154">
        <f>Mgr_12!E10</f>
        <v/>
      </c>
      <c r="F58" s="154">
        <f>Mgr_12!F10</f>
        <v/>
      </c>
      <c r="G58" s="154">
        <f>Mgr_12!G10</f>
        <v/>
      </c>
      <c r="H58" s="154">
        <f>Mgr_12!H10</f>
        <v/>
      </c>
      <c r="I58" s="154">
        <f>Mgr_12!I10</f>
        <v/>
      </c>
      <c r="J58" s="154">
        <f>Mgr_12!J10</f>
        <v/>
      </c>
      <c r="K58" s="154">
        <f>Mgr_12!K10</f>
        <v/>
      </c>
      <c r="L58" s="154">
        <f>Mgr_12!L10</f>
        <v/>
      </c>
      <c r="M58" s="154">
        <f>Mgr_12!M10</f>
        <v/>
      </c>
      <c r="N58" s="154">
        <f>Mgr_12!N10</f>
        <v/>
      </c>
      <c r="O58" s="154">
        <f>Mgr_12!O10</f>
        <v/>
      </c>
      <c r="P58" s="154">
        <f>Mgr_12!P10</f>
        <v/>
      </c>
      <c r="Q58" s="154">
        <f>Mgr_12!Q10</f>
        <v/>
      </c>
      <c r="R58" s="154">
        <f>Mgr_12!R10</f>
        <v/>
      </c>
      <c r="S58" s="154">
        <f>Mgr_12!S10</f>
        <v/>
      </c>
      <c r="T58" s="154">
        <f>Mgr_12!T10</f>
        <v/>
      </c>
      <c r="U58" s="154">
        <f>Mgr_12!U10</f>
        <v/>
      </c>
      <c r="V58" s="154">
        <f>Mgr_12!V10</f>
        <v/>
      </c>
      <c r="W58" s="154">
        <f>Mgr_12!W10</f>
        <v/>
      </c>
      <c r="X58" s="154">
        <f>Mgr_12!X10</f>
        <v/>
      </c>
      <c r="Y58" s="154">
        <f>Mgr_12!Y10</f>
        <v/>
      </c>
      <c r="Z58" s="154">
        <f>Mgr_12!Z10</f>
        <v/>
      </c>
      <c r="AA58" s="154">
        <f>Mgr_12!AA10</f>
        <v/>
      </c>
      <c r="AB58" s="154">
        <f>Mgr_12!AB10</f>
        <v/>
      </c>
      <c r="AC58" s="154">
        <f>Mgr_12!AC10</f>
        <v/>
      </c>
      <c r="AD58" s="154">
        <f>Mgr_12!AD10</f>
        <v/>
      </c>
      <c r="AE58" s="154">
        <f>Mgr_12!AE10</f>
        <v/>
      </c>
      <c r="AF58" s="154">
        <f>Mgr_12!AF10</f>
        <v/>
      </c>
    </row>
    <row r="59" ht="15" customHeight="1" s="103">
      <c r="A59" s="153" t="inlineStr">
        <is>
          <t>Менеджер 13</t>
        </is>
      </c>
      <c r="B59" s="154">
        <f>Mgr_13!B10</f>
        <v/>
      </c>
      <c r="C59" s="154">
        <f>Mgr_13!C10</f>
        <v/>
      </c>
      <c r="D59" s="154">
        <f>Mgr_13!D10</f>
        <v/>
      </c>
      <c r="E59" s="154">
        <f>Mgr_13!E10</f>
        <v/>
      </c>
      <c r="F59" s="154">
        <f>Mgr_13!F10</f>
        <v/>
      </c>
      <c r="G59" s="154">
        <f>Mgr_13!G10</f>
        <v/>
      </c>
      <c r="H59" s="154">
        <f>Mgr_13!H10</f>
        <v/>
      </c>
      <c r="I59" s="154">
        <f>Mgr_13!I10</f>
        <v/>
      </c>
      <c r="J59" s="154">
        <f>Mgr_13!J10</f>
        <v/>
      </c>
      <c r="K59" s="154">
        <f>Mgr_13!K10</f>
        <v/>
      </c>
      <c r="L59" s="154">
        <f>Mgr_13!L10</f>
        <v/>
      </c>
      <c r="M59" s="154">
        <f>Mgr_13!M10</f>
        <v/>
      </c>
      <c r="N59" s="154">
        <f>Mgr_13!N10</f>
        <v/>
      </c>
      <c r="O59" s="154">
        <f>Mgr_13!O10</f>
        <v/>
      </c>
      <c r="P59" s="154">
        <f>Mgr_13!P10</f>
        <v/>
      </c>
      <c r="Q59" s="154">
        <f>Mgr_13!Q10</f>
        <v/>
      </c>
      <c r="R59" s="154">
        <f>Mgr_13!R10</f>
        <v/>
      </c>
      <c r="S59" s="154">
        <f>Mgr_13!S10</f>
        <v/>
      </c>
      <c r="T59" s="154">
        <f>Mgr_13!T10</f>
        <v/>
      </c>
      <c r="U59" s="154">
        <f>Mgr_13!U10</f>
        <v/>
      </c>
      <c r="V59" s="154">
        <f>Mgr_13!V10</f>
        <v/>
      </c>
      <c r="W59" s="154">
        <f>Mgr_13!W10</f>
        <v/>
      </c>
      <c r="X59" s="154">
        <f>Mgr_13!X10</f>
        <v/>
      </c>
      <c r="Y59" s="154">
        <f>Mgr_13!Y10</f>
        <v/>
      </c>
      <c r="Z59" s="154">
        <f>Mgr_13!Z10</f>
        <v/>
      </c>
      <c r="AA59" s="154">
        <f>Mgr_13!AA10</f>
        <v/>
      </c>
      <c r="AB59" s="154">
        <f>Mgr_13!AB10</f>
        <v/>
      </c>
      <c r="AC59" s="154">
        <f>Mgr_13!AC10</f>
        <v/>
      </c>
      <c r="AD59" s="154">
        <f>Mgr_13!AD10</f>
        <v/>
      </c>
      <c r="AE59" s="154">
        <f>Mgr_13!AE10</f>
        <v/>
      </c>
      <c r="AF59" s="154">
        <f>Mgr_13!AF10</f>
        <v/>
      </c>
    </row>
    <row r="60" ht="15" customHeight="1" s="103">
      <c r="A60" s="153" t="inlineStr">
        <is>
          <t>Менеджер 14</t>
        </is>
      </c>
      <c r="B60" s="154">
        <f>Mgr_14!B10</f>
        <v/>
      </c>
      <c r="C60" s="154">
        <f>Mgr_14!C10</f>
        <v/>
      </c>
      <c r="D60" s="154">
        <f>Mgr_14!D10</f>
        <v/>
      </c>
      <c r="E60" s="154">
        <f>Mgr_14!E10</f>
        <v/>
      </c>
      <c r="F60" s="154">
        <f>Mgr_14!F10</f>
        <v/>
      </c>
      <c r="G60" s="154">
        <f>Mgr_14!G10</f>
        <v/>
      </c>
      <c r="H60" s="154">
        <f>Mgr_14!H10</f>
        <v/>
      </c>
      <c r="I60" s="154">
        <f>Mgr_14!I10</f>
        <v/>
      </c>
      <c r="J60" s="154">
        <f>Mgr_14!J10</f>
        <v/>
      </c>
      <c r="K60" s="154">
        <f>Mgr_14!K10</f>
        <v/>
      </c>
      <c r="L60" s="154">
        <f>Mgr_14!L10</f>
        <v/>
      </c>
      <c r="M60" s="154">
        <f>Mgr_14!M10</f>
        <v/>
      </c>
      <c r="N60" s="154">
        <f>Mgr_14!N10</f>
        <v/>
      </c>
      <c r="O60" s="154">
        <f>Mgr_14!O10</f>
        <v/>
      </c>
      <c r="P60" s="154">
        <f>Mgr_14!P10</f>
        <v/>
      </c>
      <c r="Q60" s="154">
        <f>Mgr_14!Q10</f>
        <v/>
      </c>
      <c r="R60" s="154">
        <f>Mgr_14!R10</f>
        <v/>
      </c>
      <c r="S60" s="154">
        <f>Mgr_14!S10</f>
        <v/>
      </c>
      <c r="T60" s="154">
        <f>Mgr_14!T10</f>
        <v/>
      </c>
      <c r="U60" s="154">
        <f>Mgr_14!U10</f>
        <v/>
      </c>
      <c r="V60" s="154">
        <f>Mgr_14!V10</f>
        <v/>
      </c>
      <c r="W60" s="154">
        <f>Mgr_14!W10</f>
        <v/>
      </c>
      <c r="X60" s="154">
        <f>Mgr_14!X10</f>
        <v/>
      </c>
      <c r="Y60" s="154">
        <f>Mgr_14!Y10</f>
        <v/>
      </c>
      <c r="Z60" s="154">
        <f>Mgr_14!Z10</f>
        <v/>
      </c>
      <c r="AA60" s="154">
        <f>Mgr_14!AA10</f>
        <v/>
      </c>
      <c r="AB60" s="154">
        <f>Mgr_14!AB10</f>
        <v/>
      </c>
      <c r="AC60" s="154">
        <f>Mgr_14!AC10</f>
        <v/>
      </c>
      <c r="AD60" s="154">
        <f>Mgr_14!AD10</f>
        <v/>
      </c>
      <c r="AE60" s="154">
        <f>Mgr_14!AE10</f>
        <v/>
      </c>
      <c r="AF60" s="154">
        <f>Mgr_14!AF10</f>
        <v/>
      </c>
    </row>
    <row r="61" ht="15" customHeight="1" s="103">
      <c r="A61" s="153" t="inlineStr">
        <is>
          <t>Менеджер 15</t>
        </is>
      </c>
      <c r="B61" s="154">
        <f>Mgr_15!B10</f>
        <v/>
      </c>
      <c r="C61" s="154">
        <f>Mgr_15!C10</f>
        <v/>
      </c>
      <c r="D61" s="154">
        <f>Mgr_15!D10</f>
        <v/>
      </c>
      <c r="E61" s="154">
        <f>Mgr_15!E10</f>
        <v/>
      </c>
      <c r="F61" s="154">
        <f>Mgr_15!F10</f>
        <v/>
      </c>
      <c r="G61" s="154">
        <f>Mgr_15!G10</f>
        <v/>
      </c>
      <c r="H61" s="154">
        <f>Mgr_15!H10</f>
        <v/>
      </c>
      <c r="I61" s="154">
        <f>Mgr_15!I10</f>
        <v/>
      </c>
      <c r="J61" s="154">
        <f>Mgr_15!J10</f>
        <v/>
      </c>
      <c r="K61" s="154">
        <f>Mgr_15!K10</f>
        <v/>
      </c>
      <c r="L61" s="154">
        <f>Mgr_15!L10</f>
        <v/>
      </c>
      <c r="M61" s="154">
        <f>Mgr_15!M10</f>
        <v/>
      </c>
      <c r="N61" s="154">
        <f>Mgr_15!N10</f>
        <v/>
      </c>
      <c r="O61" s="154">
        <f>Mgr_15!O10</f>
        <v/>
      </c>
      <c r="P61" s="154">
        <f>Mgr_15!P10</f>
        <v/>
      </c>
      <c r="Q61" s="154">
        <f>Mgr_15!Q10</f>
        <v/>
      </c>
      <c r="R61" s="154">
        <f>Mgr_15!R10</f>
        <v/>
      </c>
      <c r="S61" s="154">
        <f>Mgr_15!S10</f>
        <v/>
      </c>
      <c r="T61" s="154">
        <f>Mgr_15!T10</f>
        <v/>
      </c>
      <c r="U61" s="154">
        <f>Mgr_15!U10</f>
        <v/>
      </c>
      <c r="V61" s="154">
        <f>Mgr_15!V10</f>
        <v/>
      </c>
      <c r="W61" s="154">
        <f>Mgr_15!W10</f>
        <v/>
      </c>
      <c r="X61" s="154">
        <f>Mgr_15!X10</f>
        <v/>
      </c>
      <c r="Y61" s="154">
        <f>Mgr_15!Y10</f>
        <v/>
      </c>
      <c r="Z61" s="154">
        <f>Mgr_15!Z10</f>
        <v/>
      </c>
      <c r="AA61" s="154">
        <f>Mgr_15!AA10</f>
        <v/>
      </c>
      <c r="AB61" s="154">
        <f>Mgr_15!AB10</f>
        <v/>
      </c>
      <c r="AC61" s="154">
        <f>Mgr_15!AC10</f>
        <v/>
      </c>
      <c r="AD61" s="154">
        <f>Mgr_15!AD10</f>
        <v/>
      </c>
      <c r="AE61" s="154">
        <f>Mgr_15!AE10</f>
        <v/>
      </c>
      <c r="AF61" s="154">
        <f>Mgr_15!AF10</f>
        <v/>
      </c>
    </row>
    <row r="62" ht="15" customHeight="1" s="103">
      <c r="A62" s="153" t="inlineStr">
        <is>
          <t>Менеджер 16</t>
        </is>
      </c>
      <c r="B62" s="154">
        <f>Mgr_16!B10</f>
        <v/>
      </c>
      <c r="C62" s="154">
        <f>Mgr_16!C10</f>
        <v/>
      </c>
      <c r="D62" s="154">
        <f>Mgr_16!D10</f>
        <v/>
      </c>
      <c r="E62" s="154">
        <f>Mgr_16!E10</f>
        <v/>
      </c>
      <c r="F62" s="154">
        <f>Mgr_16!F10</f>
        <v/>
      </c>
      <c r="G62" s="154">
        <f>Mgr_16!G10</f>
        <v/>
      </c>
      <c r="H62" s="154">
        <f>Mgr_16!H10</f>
        <v/>
      </c>
      <c r="I62" s="154">
        <f>Mgr_16!I10</f>
        <v/>
      </c>
      <c r="J62" s="154">
        <f>Mgr_16!J10</f>
        <v/>
      </c>
      <c r="K62" s="154">
        <f>Mgr_16!K10</f>
        <v/>
      </c>
      <c r="L62" s="154">
        <f>Mgr_16!L10</f>
        <v/>
      </c>
      <c r="M62" s="154">
        <f>Mgr_16!M10</f>
        <v/>
      </c>
      <c r="N62" s="154">
        <f>Mgr_16!N10</f>
        <v/>
      </c>
      <c r="O62" s="154">
        <f>Mgr_16!O10</f>
        <v/>
      </c>
      <c r="P62" s="154">
        <f>Mgr_16!P10</f>
        <v/>
      </c>
      <c r="Q62" s="154">
        <f>Mgr_16!Q10</f>
        <v/>
      </c>
      <c r="R62" s="154">
        <f>Mgr_16!R10</f>
        <v/>
      </c>
      <c r="S62" s="154">
        <f>Mgr_16!S10</f>
        <v/>
      </c>
      <c r="T62" s="154">
        <f>Mgr_16!T10</f>
        <v/>
      </c>
      <c r="U62" s="154">
        <f>Mgr_16!U10</f>
        <v/>
      </c>
      <c r="V62" s="154">
        <f>Mgr_16!V10</f>
        <v/>
      </c>
      <c r="W62" s="154">
        <f>Mgr_16!W10</f>
        <v/>
      </c>
      <c r="X62" s="154">
        <f>Mgr_16!X10</f>
        <v/>
      </c>
      <c r="Y62" s="154">
        <f>Mgr_16!Y10</f>
        <v/>
      </c>
      <c r="Z62" s="154">
        <f>Mgr_16!Z10</f>
        <v/>
      </c>
      <c r="AA62" s="154">
        <f>Mgr_16!AA10</f>
        <v/>
      </c>
      <c r="AB62" s="154">
        <f>Mgr_16!AB10</f>
        <v/>
      </c>
      <c r="AC62" s="154">
        <f>Mgr_16!AC10</f>
        <v/>
      </c>
      <c r="AD62" s="154">
        <f>Mgr_16!AD10</f>
        <v/>
      </c>
      <c r="AE62" s="154">
        <f>Mgr_16!AE10</f>
        <v/>
      </c>
      <c r="AF62" s="154">
        <f>Mgr_16!AF10</f>
        <v/>
      </c>
    </row>
    <row r="63" ht="15" customHeight="1" s="103">
      <c r="A63" s="153" t="inlineStr">
        <is>
          <t>Менеджер 17</t>
        </is>
      </c>
      <c r="B63" s="154">
        <f>Mgr_17!B10</f>
        <v/>
      </c>
      <c r="C63" s="154">
        <f>Mgr_17!C10</f>
        <v/>
      </c>
      <c r="D63" s="154">
        <f>Mgr_17!D10</f>
        <v/>
      </c>
      <c r="E63" s="154">
        <f>Mgr_17!E10</f>
        <v/>
      </c>
      <c r="F63" s="154">
        <f>Mgr_17!F10</f>
        <v/>
      </c>
      <c r="G63" s="154">
        <f>Mgr_17!G10</f>
        <v/>
      </c>
      <c r="H63" s="154">
        <f>Mgr_17!H10</f>
        <v/>
      </c>
      <c r="I63" s="154">
        <f>Mgr_17!I10</f>
        <v/>
      </c>
      <c r="J63" s="154">
        <f>Mgr_17!J10</f>
        <v/>
      </c>
      <c r="K63" s="154">
        <f>Mgr_17!K10</f>
        <v/>
      </c>
      <c r="L63" s="154">
        <f>Mgr_17!L10</f>
        <v/>
      </c>
      <c r="M63" s="154">
        <f>Mgr_17!M10</f>
        <v/>
      </c>
      <c r="N63" s="154">
        <f>Mgr_17!N10</f>
        <v/>
      </c>
      <c r="O63" s="154">
        <f>Mgr_17!O10</f>
        <v/>
      </c>
      <c r="P63" s="154">
        <f>Mgr_17!P10</f>
        <v/>
      </c>
      <c r="Q63" s="154">
        <f>Mgr_17!Q10</f>
        <v/>
      </c>
      <c r="R63" s="154">
        <f>Mgr_17!R10</f>
        <v/>
      </c>
      <c r="S63" s="154">
        <f>Mgr_17!S10</f>
        <v/>
      </c>
      <c r="T63" s="154">
        <f>Mgr_17!T10</f>
        <v/>
      </c>
      <c r="U63" s="154">
        <f>Mgr_17!U10</f>
        <v/>
      </c>
      <c r="V63" s="154">
        <f>Mgr_17!V10</f>
        <v/>
      </c>
      <c r="W63" s="154">
        <f>Mgr_17!W10</f>
        <v/>
      </c>
      <c r="X63" s="154">
        <f>Mgr_17!X10</f>
        <v/>
      </c>
      <c r="Y63" s="154">
        <f>Mgr_17!Y10</f>
        <v/>
      </c>
      <c r="Z63" s="154">
        <f>Mgr_17!Z10</f>
        <v/>
      </c>
      <c r="AA63" s="154">
        <f>Mgr_17!AA10</f>
        <v/>
      </c>
      <c r="AB63" s="154">
        <f>Mgr_17!AB10</f>
        <v/>
      </c>
      <c r="AC63" s="154">
        <f>Mgr_17!AC10</f>
        <v/>
      </c>
      <c r="AD63" s="154">
        <f>Mgr_17!AD10</f>
        <v/>
      </c>
      <c r="AE63" s="154">
        <f>Mgr_17!AE10</f>
        <v/>
      </c>
      <c r="AF63" s="154">
        <f>Mgr_17!AF10</f>
        <v/>
      </c>
    </row>
    <row r="64" ht="15" customHeight="1" s="103">
      <c r="A64" s="153" t="inlineStr">
        <is>
          <t>Менеджер 18</t>
        </is>
      </c>
      <c r="B64" s="154">
        <f>Mgr_18!B10</f>
        <v/>
      </c>
      <c r="C64" s="154">
        <f>Mgr_18!C10</f>
        <v/>
      </c>
      <c r="D64" s="154">
        <f>Mgr_18!D10</f>
        <v/>
      </c>
      <c r="E64" s="154">
        <f>Mgr_18!E10</f>
        <v/>
      </c>
      <c r="F64" s="154">
        <f>Mgr_18!F10</f>
        <v/>
      </c>
      <c r="G64" s="154">
        <f>Mgr_18!G10</f>
        <v/>
      </c>
      <c r="H64" s="154">
        <f>Mgr_18!H10</f>
        <v/>
      </c>
      <c r="I64" s="154">
        <f>Mgr_18!I10</f>
        <v/>
      </c>
      <c r="J64" s="154">
        <f>Mgr_18!J10</f>
        <v/>
      </c>
      <c r="K64" s="154">
        <f>Mgr_18!K10</f>
        <v/>
      </c>
      <c r="L64" s="154">
        <f>Mgr_18!L10</f>
        <v/>
      </c>
      <c r="M64" s="154">
        <f>Mgr_18!M10</f>
        <v/>
      </c>
      <c r="N64" s="154">
        <f>Mgr_18!N10</f>
        <v/>
      </c>
      <c r="O64" s="154">
        <f>Mgr_18!O10</f>
        <v/>
      </c>
      <c r="P64" s="154">
        <f>Mgr_18!P10</f>
        <v/>
      </c>
      <c r="Q64" s="154">
        <f>Mgr_18!Q10</f>
        <v/>
      </c>
      <c r="R64" s="154">
        <f>Mgr_18!R10</f>
        <v/>
      </c>
      <c r="S64" s="154">
        <f>Mgr_18!S10</f>
        <v/>
      </c>
      <c r="T64" s="154">
        <f>Mgr_18!T10</f>
        <v/>
      </c>
      <c r="U64" s="154">
        <f>Mgr_18!U10</f>
        <v/>
      </c>
      <c r="V64" s="154">
        <f>Mgr_18!V10</f>
        <v/>
      </c>
      <c r="W64" s="154">
        <f>Mgr_18!W10</f>
        <v/>
      </c>
      <c r="X64" s="154">
        <f>Mgr_18!X10</f>
        <v/>
      </c>
      <c r="Y64" s="154">
        <f>Mgr_18!Y10</f>
        <v/>
      </c>
      <c r="Z64" s="154">
        <f>Mgr_18!Z10</f>
        <v/>
      </c>
      <c r="AA64" s="154">
        <f>Mgr_18!AA10</f>
        <v/>
      </c>
      <c r="AB64" s="154">
        <f>Mgr_18!AB10</f>
        <v/>
      </c>
      <c r="AC64" s="154">
        <f>Mgr_18!AC10</f>
        <v/>
      </c>
      <c r="AD64" s="154">
        <f>Mgr_18!AD10</f>
        <v/>
      </c>
      <c r="AE64" s="154">
        <f>Mgr_18!AE10</f>
        <v/>
      </c>
      <c r="AF64" s="154">
        <f>Mgr_18!AF10</f>
        <v/>
      </c>
    </row>
    <row r="65" ht="15" customHeight="1" s="103">
      <c r="A65" s="153" t="inlineStr">
        <is>
          <t>Менеджер 19</t>
        </is>
      </c>
      <c r="B65" s="154">
        <f>Mgr_19!B10</f>
        <v/>
      </c>
      <c r="C65" s="154">
        <f>Mgr_19!C10</f>
        <v/>
      </c>
      <c r="D65" s="154">
        <f>Mgr_19!D10</f>
        <v/>
      </c>
      <c r="E65" s="154">
        <f>Mgr_19!E10</f>
        <v/>
      </c>
      <c r="F65" s="154">
        <f>Mgr_19!F10</f>
        <v/>
      </c>
      <c r="G65" s="154">
        <f>Mgr_19!G10</f>
        <v/>
      </c>
      <c r="H65" s="154">
        <f>Mgr_19!H10</f>
        <v/>
      </c>
      <c r="I65" s="154">
        <f>Mgr_19!I10</f>
        <v/>
      </c>
      <c r="J65" s="154">
        <f>Mgr_19!J10</f>
        <v/>
      </c>
      <c r="K65" s="154">
        <f>Mgr_19!K10</f>
        <v/>
      </c>
      <c r="L65" s="154">
        <f>Mgr_19!L10</f>
        <v/>
      </c>
      <c r="M65" s="154">
        <f>Mgr_19!M10</f>
        <v/>
      </c>
      <c r="N65" s="154">
        <f>Mgr_19!N10</f>
        <v/>
      </c>
      <c r="O65" s="154">
        <f>Mgr_19!O10</f>
        <v/>
      </c>
      <c r="P65" s="154">
        <f>Mgr_19!P10</f>
        <v/>
      </c>
      <c r="Q65" s="154">
        <f>Mgr_19!Q10</f>
        <v/>
      </c>
      <c r="R65" s="154">
        <f>Mgr_19!R10</f>
        <v/>
      </c>
      <c r="S65" s="154">
        <f>Mgr_19!S10</f>
        <v/>
      </c>
      <c r="T65" s="154">
        <f>Mgr_19!T10</f>
        <v/>
      </c>
      <c r="U65" s="154">
        <f>Mgr_19!U10</f>
        <v/>
      </c>
      <c r="V65" s="154">
        <f>Mgr_19!V10</f>
        <v/>
      </c>
      <c r="W65" s="154">
        <f>Mgr_19!W10</f>
        <v/>
      </c>
      <c r="X65" s="154">
        <f>Mgr_19!X10</f>
        <v/>
      </c>
      <c r="Y65" s="154">
        <f>Mgr_19!Y10</f>
        <v/>
      </c>
      <c r="Z65" s="154">
        <f>Mgr_19!Z10</f>
        <v/>
      </c>
      <c r="AA65" s="154">
        <f>Mgr_19!AA10</f>
        <v/>
      </c>
      <c r="AB65" s="154">
        <f>Mgr_19!AB10</f>
        <v/>
      </c>
      <c r="AC65" s="154">
        <f>Mgr_19!AC10</f>
        <v/>
      </c>
      <c r="AD65" s="154">
        <f>Mgr_19!AD10</f>
        <v/>
      </c>
      <c r="AE65" s="154">
        <f>Mgr_19!AE10</f>
        <v/>
      </c>
      <c r="AF65" s="154">
        <f>Mgr_19!AF10</f>
        <v/>
      </c>
    </row>
    <row r="66" ht="15" customHeight="1" s="103">
      <c r="A66" s="153" t="inlineStr">
        <is>
          <t>Менеджер 20</t>
        </is>
      </c>
      <c r="B66" s="154">
        <f>Mgr_20!B10</f>
        <v/>
      </c>
      <c r="C66" s="154">
        <f>Mgr_20!C10</f>
        <v/>
      </c>
      <c r="D66" s="154">
        <f>Mgr_20!D10</f>
        <v/>
      </c>
      <c r="E66" s="154">
        <f>Mgr_20!E10</f>
        <v/>
      </c>
      <c r="F66" s="154">
        <f>Mgr_20!F10</f>
        <v/>
      </c>
      <c r="G66" s="154">
        <f>Mgr_20!G10</f>
        <v/>
      </c>
      <c r="H66" s="154">
        <f>Mgr_20!H10</f>
        <v/>
      </c>
      <c r="I66" s="154">
        <f>Mgr_20!I10</f>
        <v/>
      </c>
      <c r="J66" s="154">
        <f>Mgr_20!J10</f>
        <v/>
      </c>
      <c r="K66" s="154">
        <f>Mgr_20!K10</f>
        <v/>
      </c>
      <c r="L66" s="154">
        <f>Mgr_20!L10</f>
        <v/>
      </c>
      <c r="M66" s="154">
        <f>Mgr_20!M10</f>
        <v/>
      </c>
      <c r="N66" s="154">
        <f>Mgr_20!N10</f>
        <v/>
      </c>
      <c r="O66" s="154">
        <f>Mgr_20!O10</f>
        <v/>
      </c>
      <c r="P66" s="154">
        <f>Mgr_20!P10</f>
        <v/>
      </c>
      <c r="Q66" s="154">
        <f>Mgr_20!Q10</f>
        <v/>
      </c>
      <c r="R66" s="154">
        <f>Mgr_20!R10</f>
        <v/>
      </c>
      <c r="S66" s="154">
        <f>Mgr_20!S10</f>
        <v/>
      </c>
      <c r="T66" s="154">
        <f>Mgr_20!T10</f>
        <v/>
      </c>
      <c r="U66" s="154">
        <f>Mgr_20!U10</f>
        <v/>
      </c>
      <c r="V66" s="154">
        <f>Mgr_20!V10</f>
        <v/>
      </c>
      <c r="W66" s="154">
        <f>Mgr_20!W10</f>
        <v/>
      </c>
      <c r="X66" s="154">
        <f>Mgr_20!X10</f>
        <v/>
      </c>
      <c r="Y66" s="154">
        <f>Mgr_20!Y10</f>
        <v/>
      </c>
      <c r="Z66" s="154">
        <f>Mgr_20!Z10</f>
        <v/>
      </c>
      <c r="AA66" s="154">
        <f>Mgr_20!AA10</f>
        <v/>
      </c>
      <c r="AB66" s="154">
        <f>Mgr_20!AB10</f>
        <v/>
      </c>
      <c r="AC66" s="154">
        <f>Mgr_20!AC10</f>
        <v/>
      </c>
      <c r="AD66" s="154">
        <f>Mgr_20!AD10</f>
        <v/>
      </c>
      <c r="AE66" s="154">
        <f>Mgr_20!AE10</f>
        <v/>
      </c>
      <c r="AF66" s="154">
        <f>Mgr_20!AF10</f>
        <v/>
      </c>
    </row>
    <row r="68" ht="24.75" customHeight="1" s="103">
      <c r="A68" s="155" t="inlineStr">
        <is>
          <t>📆 РЕЙТИНГ ПО НЕДЕЛЯМ (ВЫРУЧКА)</t>
        </is>
      </c>
    </row>
    <row r="69" ht="24.75" customHeight="1" s="103">
      <c r="A69" s="156" t="inlineStr">
        <is>
          <t>Менеджер</t>
        </is>
      </c>
      <c r="B69" s="156" t="inlineStr">
        <is>
          <t>Неделя 1</t>
        </is>
      </c>
      <c r="C69" s="156" t="inlineStr">
        <is>
          <t>Неделя 2</t>
        </is>
      </c>
      <c r="D69" s="156" t="inlineStr">
        <is>
          <t>Неделя 3</t>
        </is>
      </c>
      <c r="E69" s="156" t="inlineStr">
        <is>
          <t>Неделя 4</t>
        </is>
      </c>
      <c r="F69" s="156" t="inlineStr">
        <is>
          <t>Неделя 5</t>
        </is>
      </c>
      <c r="G69" s="156" t="inlineStr">
        <is>
          <t>ИТОГО за месяц</t>
        </is>
      </c>
    </row>
    <row r="70" ht="15" customHeight="1" s="103">
      <c r="A70" s="157" t="inlineStr">
        <is>
          <t>Менеджер 1</t>
        </is>
      </c>
      <c r="B70" s="158">
        <f>SUM(Mgr_1!B10:H10)</f>
        <v/>
      </c>
      <c r="C70" s="158">
        <f>SUM(Mgr_1!I10:O10)</f>
        <v/>
      </c>
      <c r="D70" s="158">
        <f>SUM(Mgr_1!P10:V10)</f>
        <v/>
      </c>
      <c r="E70" s="158">
        <f>SUM(Mgr_1!W10:AC10)</f>
        <v/>
      </c>
      <c r="F70" s="158">
        <f>SUM(Mgr_1!AD10:AF10)</f>
        <v/>
      </c>
      <c r="G70" s="159">
        <f>SUM(B70:F70)</f>
        <v/>
      </c>
    </row>
    <row r="71" ht="15" customHeight="1" s="103">
      <c r="A71" s="157" t="inlineStr">
        <is>
          <t>Менеджер 2</t>
        </is>
      </c>
      <c r="B71" s="160">
        <f>SUM(Mgr_2!B10:H10)</f>
        <v/>
      </c>
      <c r="C71" s="160">
        <f>SUM(Mgr_2!I10:O10)</f>
        <v/>
      </c>
      <c r="D71" s="160">
        <f>SUM(Mgr_2!P10:V10)</f>
        <v/>
      </c>
      <c r="E71" s="160">
        <f>SUM(Mgr_2!W10:AC10)</f>
        <v/>
      </c>
      <c r="F71" s="160">
        <f>SUM(Mgr_2!AD10:AF10)</f>
        <v/>
      </c>
      <c r="G71" s="159">
        <f>SUM(B71:F71)</f>
        <v/>
      </c>
    </row>
    <row r="72" ht="15" customHeight="1" s="103">
      <c r="A72" s="157" t="inlineStr">
        <is>
          <t>Менеджер 3</t>
        </is>
      </c>
      <c r="B72" s="158">
        <f>SUM(Mgr_3!B10:H10)</f>
        <v/>
      </c>
      <c r="C72" s="158">
        <f>SUM(Mgr_3!I10:O10)</f>
        <v/>
      </c>
      <c r="D72" s="158">
        <f>SUM(Mgr_3!P10:V10)</f>
        <v/>
      </c>
      <c r="E72" s="158">
        <f>SUM(Mgr_3!W10:AC10)</f>
        <v/>
      </c>
      <c r="F72" s="158">
        <f>SUM(Mgr_3!AD10:AF10)</f>
        <v/>
      </c>
      <c r="G72" s="159">
        <f>SUM(B72:F72)</f>
        <v/>
      </c>
    </row>
    <row r="73" ht="15" customHeight="1" s="103">
      <c r="A73" s="157" t="inlineStr">
        <is>
          <t>Менеджер 4</t>
        </is>
      </c>
      <c r="B73" s="160">
        <f>SUM(Mgr_4!B10:H10)</f>
        <v/>
      </c>
      <c r="C73" s="160">
        <f>SUM(Mgr_4!I10:O10)</f>
        <v/>
      </c>
      <c r="D73" s="160">
        <f>SUM(Mgr_4!P10:V10)</f>
        <v/>
      </c>
      <c r="E73" s="160">
        <f>SUM(Mgr_4!W10:AC10)</f>
        <v/>
      </c>
      <c r="F73" s="160">
        <f>SUM(Mgr_4!AD10:AF10)</f>
        <v/>
      </c>
      <c r="G73" s="159">
        <f>SUM(B73:F73)</f>
        <v/>
      </c>
    </row>
    <row r="74" ht="15" customHeight="1" s="103">
      <c r="A74" s="157" t="inlineStr">
        <is>
          <t>Менеджер 5</t>
        </is>
      </c>
      <c r="B74" s="158">
        <f>SUM(Mgr_5!B10:H10)</f>
        <v/>
      </c>
      <c r="C74" s="158">
        <f>SUM(Mgr_5!I10:O10)</f>
        <v/>
      </c>
      <c r="D74" s="158">
        <f>SUM(Mgr_5!P10:V10)</f>
        <v/>
      </c>
      <c r="E74" s="158">
        <f>SUM(Mgr_5!W10:AC10)</f>
        <v/>
      </c>
      <c r="F74" s="158">
        <f>SUM(Mgr_5!AD10:AF10)</f>
        <v/>
      </c>
      <c r="G74" s="159">
        <f>SUM(B74:F74)</f>
        <v/>
      </c>
    </row>
    <row r="75" ht="15" customHeight="1" s="103">
      <c r="A75" s="157" t="inlineStr">
        <is>
          <t>Менеджер 6</t>
        </is>
      </c>
      <c r="B75" s="160">
        <f>SUM(Mgr_6!B10:H10)</f>
        <v/>
      </c>
      <c r="C75" s="160">
        <f>SUM(Mgr_6!I10:O10)</f>
        <v/>
      </c>
      <c r="D75" s="160">
        <f>SUM(Mgr_6!P10:V10)</f>
        <v/>
      </c>
      <c r="E75" s="160">
        <f>SUM(Mgr_6!W10:AC10)</f>
        <v/>
      </c>
      <c r="F75" s="160">
        <f>SUM(Mgr_6!AD10:AF10)</f>
        <v/>
      </c>
      <c r="G75" s="159">
        <f>SUM(B75:F75)</f>
        <v/>
      </c>
    </row>
    <row r="76" ht="15" customHeight="1" s="103">
      <c r="A76" s="157" t="inlineStr">
        <is>
          <t>Менеджер 7</t>
        </is>
      </c>
      <c r="B76" s="158">
        <f>SUM(Mgr_7!B10:H10)</f>
        <v/>
      </c>
      <c r="C76" s="158">
        <f>SUM(Mgr_7!I10:O10)</f>
        <v/>
      </c>
      <c r="D76" s="158">
        <f>SUM(Mgr_7!P10:V10)</f>
        <v/>
      </c>
      <c r="E76" s="158">
        <f>SUM(Mgr_7!W10:AC10)</f>
        <v/>
      </c>
      <c r="F76" s="158">
        <f>SUM(Mgr_7!AD10:AF10)</f>
        <v/>
      </c>
      <c r="G76" s="159">
        <f>SUM(B76:F76)</f>
        <v/>
      </c>
    </row>
    <row r="77" ht="15" customHeight="1" s="103">
      <c r="A77" s="157" t="inlineStr">
        <is>
          <t>Менеджер 8</t>
        </is>
      </c>
      <c r="B77" s="160">
        <f>SUM(Mgr_8!B10:H10)</f>
        <v/>
      </c>
      <c r="C77" s="160">
        <f>SUM(Mgr_8!I10:O10)</f>
        <v/>
      </c>
      <c r="D77" s="160">
        <f>SUM(Mgr_8!P10:V10)</f>
        <v/>
      </c>
      <c r="E77" s="160">
        <f>SUM(Mgr_8!W10:AC10)</f>
        <v/>
      </c>
      <c r="F77" s="160">
        <f>SUM(Mgr_8!AD10:AF10)</f>
        <v/>
      </c>
      <c r="G77" s="159">
        <f>SUM(B77:F77)</f>
        <v/>
      </c>
    </row>
    <row r="78" ht="15" customHeight="1" s="103">
      <c r="A78" s="157" t="inlineStr">
        <is>
          <t>Менеджер 9</t>
        </is>
      </c>
      <c r="B78" s="158">
        <f>SUM(Mgr_9!B10:H10)</f>
        <v/>
      </c>
      <c r="C78" s="158">
        <f>SUM(Mgr_9!I10:O10)</f>
        <v/>
      </c>
      <c r="D78" s="158">
        <f>SUM(Mgr_9!P10:V10)</f>
        <v/>
      </c>
      <c r="E78" s="158">
        <f>SUM(Mgr_9!W10:AC10)</f>
        <v/>
      </c>
      <c r="F78" s="158">
        <f>SUM(Mgr_9!AD10:AF10)</f>
        <v/>
      </c>
      <c r="G78" s="159">
        <f>SUM(B78:F78)</f>
        <v/>
      </c>
    </row>
    <row r="79" ht="15" customHeight="1" s="103">
      <c r="A79" s="157" t="inlineStr">
        <is>
          <t>Менеджер 10</t>
        </is>
      </c>
      <c r="B79" s="160">
        <f>SUM(Mgr_10!B10:H10)</f>
        <v/>
      </c>
      <c r="C79" s="160">
        <f>SUM(Mgr_10!I10:O10)</f>
        <v/>
      </c>
      <c r="D79" s="160">
        <f>SUM(Mgr_10!P10:V10)</f>
        <v/>
      </c>
      <c r="E79" s="160">
        <f>SUM(Mgr_10!W10:AC10)</f>
        <v/>
      </c>
      <c r="F79" s="160">
        <f>SUM(Mgr_10!AD10:AF10)</f>
        <v/>
      </c>
      <c r="G79" s="159">
        <f>SUM(B79:F79)</f>
        <v/>
      </c>
    </row>
    <row r="80" ht="15" customHeight="1" s="103">
      <c r="A80" s="157" t="inlineStr">
        <is>
          <t>Менеджер 11</t>
        </is>
      </c>
      <c r="B80" s="158">
        <f>SUM(Mgr_11!B10:H10)</f>
        <v/>
      </c>
      <c r="C80" s="158">
        <f>SUM(Mgr_11!I10:O10)</f>
        <v/>
      </c>
      <c r="D80" s="158">
        <f>SUM(Mgr_11!P10:V10)</f>
        <v/>
      </c>
      <c r="E80" s="158">
        <f>SUM(Mgr_11!W10:AC10)</f>
        <v/>
      </c>
      <c r="F80" s="158">
        <f>SUM(Mgr_11!AD10:AF10)</f>
        <v/>
      </c>
      <c r="G80" s="159">
        <f>SUM(B80:F80)</f>
        <v/>
      </c>
    </row>
    <row r="81" ht="15" customHeight="1" s="103">
      <c r="A81" s="157" t="inlineStr">
        <is>
          <t>Менеджер 12</t>
        </is>
      </c>
      <c r="B81" s="160">
        <f>SUM(Mgr_12!B10:H10)</f>
        <v/>
      </c>
      <c r="C81" s="160">
        <f>SUM(Mgr_12!I10:O10)</f>
        <v/>
      </c>
      <c r="D81" s="160">
        <f>SUM(Mgr_12!P10:V10)</f>
        <v/>
      </c>
      <c r="E81" s="160">
        <f>SUM(Mgr_12!W10:AC10)</f>
        <v/>
      </c>
      <c r="F81" s="160">
        <f>SUM(Mgr_12!AD10:AF10)</f>
        <v/>
      </c>
      <c r="G81" s="159">
        <f>SUM(B81:F81)</f>
        <v/>
      </c>
    </row>
    <row r="82" ht="15" customHeight="1" s="103">
      <c r="A82" s="157" t="inlineStr">
        <is>
          <t>Менеджер 13</t>
        </is>
      </c>
      <c r="B82" s="158">
        <f>SUM(Mgr_13!B10:H10)</f>
        <v/>
      </c>
      <c r="C82" s="158">
        <f>SUM(Mgr_13!I10:O10)</f>
        <v/>
      </c>
      <c r="D82" s="158">
        <f>SUM(Mgr_13!P10:V10)</f>
        <v/>
      </c>
      <c r="E82" s="158">
        <f>SUM(Mgr_13!W10:AC10)</f>
        <v/>
      </c>
      <c r="F82" s="158">
        <f>SUM(Mgr_13!AD10:AF10)</f>
        <v/>
      </c>
      <c r="G82" s="159">
        <f>SUM(B82:F82)</f>
        <v/>
      </c>
    </row>
    <row r="83" ht="15" customHeight="1" s="103">
      <c r="A83" s="157" t="inlineStr">
        <is>
          <t>Менеджер 14</t>
        </is>
      </c>
      <c r="B83" s="160">
        <f>SUM(Mgr_14!B10:H10)</f>
        <v/>
      </c>
      <c r="C83" s="160">
        <f>SUM(Mgr_14!I10:O10)</f>
        <v/>
      </c>
      <c r="D83" s="160">
        <f>SUM(Mgr_14!P10:V10)</f>
        <v/>
      </c>
      <c r="E83" s="160">
        <f>SUM(Mgr_14!W10:AC10)</f>
        <v/>
      </c>
      <c r="F83" s="160">
        <f>SUM(Mgr_14!AD10:AF10)</f>
        <v/>
      </c>
      <c r="G83" s="159">
        <f>SUM(B83:F83)</f>
        <v/>
      </c>
    </row>
    <row r="84" ht="15" customHeight="1" s="103">
      <c r="A84" s="157" t="inlineStr">
        <is>
          <t>Менеджер 15</t>
        </is>
      </c>
      <c r="B84" s="158">
        <f>SUM(Mgr_15!B10:H10)</f>
        <v/>
      </c>
      <c r="C84" s="158">
        <f>SUM(Mgr_15!I10:O10)</f>
        <v/>
      </c>
      <c r="D84" s="158">
        <f>SUM(Mgr_15!P10:V10)</f>
        <v/>
      </c>
      <c r="E84" s="158">
        <f>SUM(Mgr_15!W10:AC10)</f>
        <v/>
      </c>
      <c r="F84" s="158">
        <f>SUM(Mgr_15!AD10:AF10)</f>
        <v/>
      </c>
      <c r="G84" s="159">
        <f>SUM(B84:F84)</f>
        <v/>
      </c>
    </row>
    <row r="85" ht="15" customHeight="1" s="103">
      <c r="A85" s="157" t="inlineStr">
        <is>
          <t>Менеджер 16</t>
        </is>
      </c>
      <c r="B85" s="160">
        <f>SUM(Mgr_16!B10:H10)</f>
        <v/>
      </c>
      <c r="C85" s="160">
        <f>SUM(Mgr_16!I10:O10)</f>
        <v/>
      </c>
      <c r="D85" s="160">
        <f>SUM(Mgr_16!P10:V10)</f>
        <v/>
      </c>
      <c r="E85" s="160">
        <f>SUM(Mgr_16!W10:AC10)</f>
        <v/>
      </c>
      <c r="F85" s="160">
        <f>SUM(Mgr_16!AD10:AF10)</f>
        <v/>
      </c>
      <c r="G85" s="159">
        <f>SUM(B85:F85)</f>
        <v/>
      </c>
    </row>
    <row r="86" ht="15" customHeight="1" s="103">
      <c r="A86" s="157" t="inlineStr">
        <is>
          <t>Менеджер 17</t>
        </is>
      </c>
      <c r="B86" s="158">
        <f>SUM(Mgr_17!B10:H10)</f>
        <v/>
      </c>
      <c r="C86" s="158">
        <f>SUM(Mgr_17!I10:O10)</f>
        <v/>
      </c>
      <c r="D86" s="158">
        <f>SUM(Mgr_17!P10:V10)</f>
        <v/>
      </c>
      <c r="E86" s="158">
        <f>SUM(Mgr_17!W10:AC10)</f>
        <v/>
      </c>
      <c r="F86" s="158">
        <f>SUM(Mgr_17!AD10:AF10)</f>
        <v/>
      </c>
      <c r="G86" s="159">
        <f>SUM(B86:F86)</f>
        <v/>
      </c>
    </row>
    <row r="87" ht="15" customHeight="1" s="103">
      <c r="A87" s="157" t="inlineStr">
        <is>
          <t>Менеджер 18</t>
        </is>
      </c>
      <c r="B87" s="160">
        <f>SUM(Mgr_18!B10:H10)</f>
        <v/>
      </c>
      <c r="C87" s="160">
        <f>SUM(Mgr_18!I10:O10)</f>
        <v/>
      </c>
      <c r="D87" s="160">
        <f>SUM(Mgr_18!P10:V10)</f>
        <v/>
      </c>
      <c r="E87" s="160">
        <f>SUM(Mgr_18!W10:AC10)</f>
        <v/>
      </c>
      <c r="F87" s="160">
        <f>SUM(Mgr_18!AD10:AF10)</f>
        <v/>
      </c>
      <c r="G87" s="159">
        <f>SUM(B87:F87)</f>
        <v/>
      </c>
    </row>
    <row r="88" ht="15" customHeight="1" s="103">
      <c r="A88" s="157" t="inlineStr">
        <is>
          <t>Менеджер 19</t>
        </is>
      </c>
      <c r="B88" s="158">
        <f>SUM(Mgr_19!B10:H10)</f>
        <v/>
      </c>
      <c r="C88" s="158">
        <f>SUM(Mgr_19!I10:O10)</f>
        <v/>
      </c>
      <c r="D88" s="158">
        <f>SUM(Mgr_19!P10:V10)</f>
        <v/>
      </c>
      <c r="E88" s="158">
        <f>SUM(Mgr_19!W10:AC10)</f>
        <v/>
      </c>
      <c r="F88" s="158">
        <f>SUM(Mgr_19!AD10:AF10)</f>
        <v/>
      </c>
      <c r="G88" s="159">
        <f>SUM(B88:F88)</f>
        <v/>
      </c>
    </row>
    <row r="89" ht="15" customHeight="1" s="103">
      <c r="A89" s="157" t="inlineStr">
        <is>
          <t>Менеджер 20</t>
        </is>
      </c>
      <c r="B89" s="160">
        <f>SUM(Mgr_20!B10:H10)</f>
        <v/>
      </c>
      <c r="C89" s="160">
        <f>SUM(Mgr_20!I10:O10)</f>
        <v/>
      </c>
      <c r="D89" s="160">
        <f>SUM(Mgr_20!P10:V10)</f>
        <v/>
      </c>
      <c r="E89" s="160">
        <f>SUM(Mgr_20!W10:AC10)</f>
        <v/>
      </c>
      <c r="F89" s="160">
        <f>SUM(Mgr_20!AD10:AF10)</f>
        <v/>
      </c>
      <c r="G89" s="159">
        <f>SUM(B89:F89)</f>
        <v/>
      </c>
    </row>
    <row r="91" ht="24.75" customHeight="1" s="103">
      <c r="A91" s="161" t="inlineStr">
        <is>
          <t>📊 РЕЙТИНГ ПО МЕСЯЦАМ ГОДА (ВЫРУЧКА)</t>
        </is>
      </c>
    </row>
    <row r="92" ht="24.75" customHeight="1" s="103">
      <c r="A92" s="151" t="inlineStr">
        <is>
          <t>Менеджер</t>
        </is>
      </c>
      <c r="B92" s="151" t="inlineStr">
        <is>
          <t>Янв</t>
        </is>
      </c>
      <c r="C92" s="151" t="inlineStr">
        <is>
          <t>Фев</t>
        </is>
      </c>
      <c r="D92" s="151" t="inlineStr">
        <is>
          <t>Мар</t>
        </is>
      </c>
      <c r="E92" s="151" t="inlineStr">
        <is>
          <t>Апр</t>
        </is>
      </c>
      <c r="F92" s="151" t="inlineStr">
        <is>
          <t>Май</t>
        </is>
      </c>
      <c r="G92" s="151" t="inlineStr">
        <is>
          <t>Июн</t>
        </is>
      </c>
      <c r="H92" s="151" t="inlineStr">
        <is>
          <t>Июл</t>
        </is>
      </c>
      <c r="I92" s="151" t="inlineStr">
        <is>
          <t>Авг</t>
        </is>
      </c>
      <c r="J92" s="151" t="inlineStr">
        <is>
          <t>Сен</t>
        </is>
      </c>
      <c r="K92" s="151" t="inlineStr">
        <is>
          <t>Окт</t>
        </is>
      </c>
      <c r="L92" s="151" t="inlineStr">
        <is>
          <t>Ноя</t>
        </is>
      </c>
      <c r="M92" s="151" t="inlineStr">
        <is>
          <t>Дек</t>
        </is>
      </c>
      <c r="N92" s="151" t="inlineStr">
        <is>
          <t>ИТОГО год</t>
        </is>
      </c>
    </row>
    <row r="93" ht="15" customHeight="1" s="103">
      <c r="A93" s="157" t="inlineStr">
        <is>
          <t>Менеджер 1</t>
        </is>
      </c>
      <c r="B93" s="160" t="n">
        <v>0</v>
      </c>
      <c r="C93" s="160">
        <f>Mgr_1!AG10</f>
        <v/>
      </c>
      <c r="D93" s="160" t="n">
        <v>0</v>
      </c>
      <c r="E93" s="160" t="n">
        <v>0</v>
      </c>
      <c r="F93" s="160" t="n">
        <v>0</v>
      </c>
      <c r="G93" s="160" t="n">
        <v>0</v>
      </c>
      <c r="H93" s="160" t="n">
        <v>0</v>
      </c>
      <c r="I93" s="160" t="n">
        <v>0</v>
      </c>
      <c r="J93" s="160" t="n">
        <v>0</v>
      </c>
      <c r="K93" s="160" t="n">
        <v>0</v>
      </c>
      <c r="L93" s="160" t="n">
        <v>0</v>
      </c>
      <c r="M93" s="160" t="n">
        <v>0</v>
      </c>
      <c r="N93" s="162">
        <f>SUM(B93:M93)</f>
        <v/>
      </c>
    </row>
    <row r="94" ht="15" customHeight="1" s="103">
      <c r="A94" s="157" t="inlineStr">
        <is>
          <t>Менеджер 2</t>
        </is>
      </c>
      <c r="B94" s="158" t="n">
        <v>0</v>
      </c>
      <c r="C94" s="158">
        <f>Mgr_2!AG10</f>
        <v/>
      </c>
      <c r="D94" s="158" t="n">
        <v>0</v>
      </c>
      <c r="E94" s="158" t="n">
        <v>0</v>
      </c>
      <c r="F94" s="158" t="n">
        <v>0</v>
      </c>
      <c r="G94" s="158" t="n">
        <v>0</v>
      </c>
      <c r="H94" s="158" t="n">
        <v>0</v>
      </c>
      <c r="I94" s="158" t="n">
        <v>0</v>
      </c>
      <c r="J94" s="158" t="n">
        <v>0</v>
      </c>
      <c r="K94" s="158" t="n">
        <v>0</v>
      </c>
      <c r="L94" s="158" t="n">
        <v>0</v>
      </c>
      <c r="M94" s="158" t="n">
        <v>0</v>
      </c>
      <c r="N94" s="162">
        <f>SUM(B94:M94)</f>
        <v/>
      </c>
    </row>
    <row r="95" ht="15" customHeight="1" s="103">
      <c r="A95" s="157" t="inlineStr">
        <is>
          <t>Менеджер 3</t>
        </is>
      </c>
      <c r="B95" s="160" t="n">
        <v>0</v>
      </c>
      <c r="C95" s="160">
        <f>Mgr_3!AG10</f>
        <v/>
      </c>
      <c r="D95" s="160" t="n">
        <v>0</v>
      </c>
      <c r="E95" s="160" t="n">
        <v>0</v>
      </c>
      <c r="F95" s="160" t="n">
        <v>0</v>
      </c>
      <c r="G95" s="160" t="n">
        <v>0</v>
      </c>
      <c r="H95" s="160" t="n">
        <v>0</v>
      </c>
      <c r="I95" s="160" t="n">
        <v>0</v>
      </c>
      <c r="J95" s="160" t="n">
        <v>0</v>
      </c>
      <c r="K95" s="160" t="n">
        <v>0</v>
      </c>
      <c r="L95" s="160" t="n">
        <v>0</v>
      </c>
      <c r="M95" s="160" t="n">
        <v>0</v>
      </c>
      <c r="N95" s="162">
        <f>SUM(B95:M95)</f>
        <v/>
      </c>
    </row>
    <row r="96" ht="15" customHeight="1" s="103">
      <c r="A96" s="157" t="inlineStr">
        <is>
          <t>Менеджер 4</t>
        </is>
      </c>
      <c r="B96" s="158" t="n">
        <v>0</v>
      </c>
      <c r="C96" s="158">
        <f>Mgr_4!AG10</f>
        <v/>
      </c>
      <c r="D96" s="158" t="n">
        <v>0</v>
      </c>
      <c r="E96" s="158" t="n">
        <v>0</v>
      </c>
      <c r="F96" s="158" t="n">
        <v>0</v>
      </c>
      <c r="G96" s="158" t="n">
        <v>0</v>
      </c>
      <c r="H96" s="158" t="n">
        <v>0</v>
      </c>
      <c r="I96" s="158" t="n">
        <v>0</v>
      </c>
      <c r="J96" s="158" t="n">
        <v>0</v>
      </c>
      <c r="K96" s="158" t="n">
        <v>0</v>
      </c>
      <c r="L96" s="158" t="n">
        <v>0</v>
      </c>
      <c r="M96" s="158" t="n">
        <v>0</v>
      </c>
      <c r="N96" s="162">
        <f>SUM(B96:M96)</f>
        <v/>
      </c>
    </row>
    <row r="97" ht="15" customHeight="1" s="103">
      <c r="A97" s="157" t="inlineStr">
        <is>
          <t>Менеджер 5</t>
        </is>
      </c>
      <c r="B97" s="160" t="n">
        <v>0</v>
      </c>
      <c r="C97" s="160">
        <f>Mgr_5!AG10</f>
        <v/>
      </c>
      <c r="D97" s="160" t="n">
        <v>0</v>
      </c>
      <c r="E97" s="160" t="n">
        <v>0</v>
      </c>
      <c r="F97" s="160" t="n">
        <v>0</v>
      </c>
      <c r="G97" s="160" t="n">
        <v>0</v>
      </c>
      <c r="H97" s="160" t="n">
        <v>0</v>
      </c>
      <c r="I97" s="160" t="n">
        <v>0</v>
      </c>
      <c r="J97" s="160" t="n">
        <v>0</v>
      </c>
      <c r="K97" s="160" t="n">
        <v>0</v>
      </c>
      <c r="L97" s="160" t="n">
        <v>0</v>
      </c>
      <c r="M97" s="160" t="n">
        <v>0</v>
      </c>
      <c r="N97" s="162">
        <f>SUM(B97:M97)</f>
        <v/>
      </c>
    </row>
    <row r="98" ht="15" customHeight="1" s="103">
      <c r="A98" s="157" t="inlineStr">
        <is>
          <t>Менеджер 6</t>
        </is>
      </c>
      <c r="B98" s="158" t="n">
        <v>0</v>
      </c>
      <c r="C98" s="158">
        <f>Mgr_6!AG10</f>
        <v/>
      </c>
      <c r="D98" s="158" t="n">
        <v>0</v>
      </c>
      <c r="E98" s="158" t="n">
        <v>0</v>
      </c>
      <c r="F98" s="158" t="n">
        <v>0</v>
      </c>
      <c r="G98" s="158" t="n">
        <v>0</v>
      </c>
      <c r="H98" s="158" t="n">
        <v>0</v>
      </c>
      <c r="I98" s="158" t="n">
        <v>0</v>
      </c>
      <c r="J98" s="158" t="n">
        <v>0</v>
      </c>
      <c r="K98" s="158" t="n">
        <v>0</v>
      </c>
      <c r="L98" s="158" t="n">
        <v>0</v>
      </c>
      <c r="M98" s="158" t="n">
        <v>0</v>
      </c>
      <c r="N98" s="162">
        <f>SUM(B98:M98)</f>
        <v/>
      </c>
    </row>
    <row r="99" ht="15" customHeight="1" s="103">
      <c r="A99" s="157" t="inlineStr">
        <is>
          <t>Менеджер 7</t>
        </is>
      </c>
      <c r="B99" s="160" t="n">
        <v>0</v>
      </c>
      <c r="C99" s="160">
        <f>Mgr_7!AG10</f>
        <v/>
      </c>
      <c r="D99" s="160" t="n">
        <v>0</v>
      </c>
      <c r="E99" s="160" t="n">
        <v>0</v>
      </c>
      <c r="F99" s="160" t="n">
        <v>0</v>
      </c>
      <c r="G99" s="160" t="n">
        <v>0</v>
      </c>
      <c r="H99" s="160" t="n">
        <v>0</v>
      </c>
      <c r="I99" s="160" t="n">
        <v>0</v>
      </c>
      <c r="J99" s="160" t="n">
        <v>0</v>
      </c>
      <c r="K99" s="160" t="n">
        <v>0</v>
      </c>
      <c r="L99" s="160" t="n">
        <v>0</v>
      </c>
      <c r="M99" s="160" t="n">
        <v>0</v>
      </c>
      <c r="N99" s="162">
        <f>SUM(B99:M99)</f>
        <v/>
      </c>
    </row>
    <row r="100" ht="15" customHeight="1" s="103">
      <c r="A100" s="157" t="inlineStr">
        <is>
          <t>Менеджер 8</t>
        </is>
      </c>
      <c r="B100" s="158" t="n">
        <v>0</v>
      </c>
      <c r="C100" s="158">
        <f>Mgr_8!AG10</f>
        <v/>
      </c>
      <c r="D100" s="158" t="n">
        <v>0</v>
      </c>
      <c r="E100" s="158" t="n">
        <v>0</v>
      </c>
      <c r="F100" s="158" t="n">
        <v>0</v>
      </c>
      <c r="G100" s="158" t="n">
        <v>0</v>
      </c>
      <c r="H100" s="158" t="n">
        <v>0</v>
      </c>
      <c r="I100" s="158" t="n">
        <v>0</v>
      </c>
      <c r="J100" s="158" t="n">
        <v>0</v>
      </c>
      <c r="K100" s="158" t="n">
        <v>0</v>
      </c>
      <c r="L100" s="158" t="n">
        <v>0</v>
      </c>
      <c r="M100" s="158" t="n">
        <v>0</v>
      </c>
      <c r="N100" s="162">
        <f>SUM(B100:M100)</f>
        <v/>
      </c>
    </row>
    <row r="101" ht="15" customHeight="1" s="103">
      <c r="A101" s="157" t="inlineStr">
        <is>
          <t>Менеджер 9</t>
        </is>
      </c>
      <c r="B101" s="160" t="n">
        <v>0</v>
      </c>
      <c r="C101" s="160">
        <f>Mgr_9!AG10</f>
        <v/>
      </c>
      <c r="D101" s="160" t="n">
        <v>0</v>
      </c>
      <c r="E101" s="160" t="n">
        <v>0</v>
      </c>
      <c r="F101" s="160" t="n">
        <v>0</v>
      </c>
      <c r="G101" s="160" t="n">
        <v>0</v>
      </c>
      <c r="H101" s="160" t="n">
        <v>0</v>
      </c>
      <c r="I101" s="160" t="n">
        <v>0</v>
      </c>
      <c r="J101" s="160" t="n">
        <v>0</v>
      </c>
      <c r="K101" s="160" t="n">
        <v>0</v>
      </c>
      <c r="L101" s="160" t="n">
        <v>0</v>
      </c>
      <c r="M101" s="160" t="n">
        <v>0</v>
      </c>
      <c r="N101" s="162">
        <f>SUM(B101:M101)</f>
        <v/>
      </c>
    </row>
    <row r="102" ht="15" customHeight="1" s="103">
      <c r="A102" s="157" t="inlineStr">
        <is>
          <t>Менеджер 10</t>
        </is>
      </c>
      <c r="B102" s="158" t="n">
        <v>0</v>
      </c>
      <c r="C102" s="158">
        <f>Mgr_10!AG10</f>
        <v/>
      </c>
      <c r="D102" s="158" t="n">
        <v>0</v>
      </c>
      <c r="E102" s="158" t="n">
        <v>0</v>
      </c>
      <c r="F102" s="158" t="n">
        <v>0</v>
      </c>
      <c r="G102" s="158" t="n">
        <v>0</v>
      </c>
      <c r="H102" s="158" t="n">
        <v>0</v>
      </c>
      <c r="I102" s="158" t="n">
        <v>0</v>
      </c>
      <c r="J102" s="158" t="n">
        <v>0</v>
      </c>
      <c r="K102" s="158" t="n">
        <v>0</v>
      </c>
      <c r="L102" s="158" t="n">
        <v>0</v>
      </c>
      <c r="M102" s="158" t="n">
        <v>0</v>
      </c>
      <c r="N102" s="162">
        <f>SUM(B102:M102)</f>
        <v/>
      </c>
    </row>
    <row r="103" ht="15" customHeight="1" s="103">
      <c r="A103" s="157" t="inlineStr">
        <is>
          <t>Менеджер 11</t>
        </is>
      </c>
      <c r="B103" s="160" t="n">
        <v>0</v>
      </c>
      <c r="C103" s="160">
        <f>Mgr_11!AG10</f>
        <v/>
      </c>
      <c r="D103" s="160" t="n">
        <v>0</v>
      </c>
      <c r="E103" s="160" t="n">
        <v>0</v>
      </c>
      <c r="F103" s="160" t="n">
        <v>0</v>
      </c>
      <c r="G103" s="160" t="n">
        <v>0</v>
      </c>
      <c r="H103" s="160" t="n">
        <v>0</v>
      </c>
      <c r="I103" s="160" t="n">
        <v>0</v>
      </c>
      <c r="J103" s="160" t="n">
        <v>0</v>
      </c>
      <c r="K103" s="160" t="n">
        <v>0</v>
      </c>
      <c r="L103" s="160" t="n">
        <v>0</v>
      </c>
      <c r="M103" s="160" t="n">
        <v>0</v>
      </c>
      <c r="N103" s="162">
        <f>SUM(B103:M103)</f>
        <v/>
      </c>
    </row>
    <row r="104" ht="15" customHeight="1" s="103">
      <c r="A104" s="157" t="inlineStr">
        <is>
          <t>Менеджер 12</t>
        </is>
      </c>
      <c r="B104" s="158" t="n">
        <v>0</v>
      </c>
      <c r="C104" s="158">
        <f>Mgr_12!AG10</f>
        <v/>
      </c>
      <c r="D104" s="158" t="n">
        <v>0</v>
      </c>
      <c r="E104" s="158" t="n">
        <v>0</v>
      </c>
      <c r="F104" s="158" t="n">
        <v>0</v>
      </c>
      <c r="G104" s="158" t="n">
        <v>0</v>
      </c>
      <c r="H104" s="158" t="n">
        <v>0</v>
      </c>
      <c r="I104" s="158" t="n">
        <v>0</v>
      </c>
      <c r="J104" s="158" t="n">
        <v>0</v>
      </c>
      <c r="K104" s="158" t="n">
        <v>0</v>
      </c>
      <c r="L104" s="158" t="n">
        <v>0</v>
      </c>
      <c r="M104" s="158" t="n">
        <v>0</v>
      </c>
      <c r="N104" s="162">
        <f>SUM(B104:M104)</f>
        <v/>
      </c>
    </row>
    <row r="105" ht="15" customHeight="1" s="103">
      <c r="A105" s="157" t="inlineStr">
        <is>
          <t>Менеджер 13</t>
        </is>
      </c>
      <c r="B105" s="160" t="n">
        <v>0</v>
      </c>
      <c r="C105" s="160">
        <f>Mgr_13!AG10</f>
        <v/>
      </c>
      <c r="D105" s="160" t="n">
        <v>0</v>
      </c>
      <c r="E105" s="160" t="n">
        <v>0</v>
      </c>
      <c r="F105" s="160" t="n">
        <v>0</v>
      </c>
      <c r="G105" s="160" t="n">
        <v>0</v>
      </c>
      <c r="H105" s="160" t="n">
        <v>0</v>
      </c>
      <c r="I105" s="160" t="n">
        <v>0</v>
      </c>
      <c r="J105" s="160" t="n">
        <v>0</v>
      </c>
      <c r="K105" s="160" t="n">
        <v>0</v>
      </c>
      <c r="L105" s="160" t="n">
        <v>0</v>
      </c>
      <c r="M105" s="160" t="n">
        <v>0</v>
      </c>
      <c r="N105" s="162">
        <f>SUM(B105:M105)</f>
        <v/>
      </c>
    </row>
    <row r="106" ht="15" customHeight="1" s="103">
      <c r="A106" s="157" t="inlineStr">
        <is>
          <t>Менеджер 14</t>
        </is>
      </c>
      <c r="B106" s="158" t="n">
        <v>0</v>
      </c>
      <c r="C106" s="158">
        <f>Mgr_14!AG10</f>
        <v/>
      </c>
      <c r="D106" s="158" t="n">
        <v>0</v>
      </c>
      <c r="E106" s="158" t="n">
        <v>0</v>
      </c>
      <c r="F106" s="158" t="n">
        <v>0</v>
      </c>
      <c r="G106" s="158" t="n">
        <v>0</v>
      </c>
      <c r="H106" s="158" t="n">
        <v>0</v>
      </c>
      <c r="I106" s="158" t="n">
        <v>0</v>
      </c>
      <c r="J106" s="158" t="n">
        <v>0</v>
      </c>
      <c r="K106" s="158" t="n">
        <v>0</v>
      </c>
      <c r="L106" s="158" t="n">
        <v>0</v>
      </c>
      <c r="M106" s="158" t="n">
        <v>0</v>
      </c>
      <c r="N106" s="162">
        <f>SUM(B106:M106)</f>
        <v/>
      </c>
    </row>
    <row r="107" ht="15" customHeight="1" s="103">
      <c r="A107" s="157" t="inlineStr">
        <is>
          <t>Менеджер 15</t>
        </is>
      </c>
      <c r="B107" s="160" t="n">
        <v>0</v>
      </c>
      <c r="C107" s="160">
        <f>Mgr_15!AG10</f>
        <v/>
      </c>
      <c r="D107" s="160" t="n">
        <v>0</v>
      </c>
      <c r="E107" s="160" t="n">
        <v>0</v>
      </c>
      <c r="F107" s="160" t="n">
        <v>0</v>
      </c>
      <c r="G107" s="160" t="n">
        <v>0</v>
      </c>
      <c r="H107" s="160" t="n">
        <v>0</v>
      </c>
      <c r="I107" s="160" t="n">
        <v>0</v>
      </c>
      <c r="J107" s="160" t="n">
        <v>0</v>
      </c>
      <c r="K107" s="160" t="n">
        <v>0</v>
      </c>
      <c r="L107" s="160" t="n">
        <v>0</v>
      </c>
      <c r="M107" s="160" t="n">
        <v>0</v>
      </c>
      <c r="N107" s="162">
        <f>SUM(B107:M107)</f>
        <v/>
      </c>
    </row>
    <row r="108" ht="15" customHeight="1" s="103">
      <c r="A108" s="157" t="inlineStr">
        <is>
          <t>Менеджер 16</t>
        </is>
      </c>
      <c r="B108" s="158" t="n">
        <v>0</v>
      </c>
      <c r="C108" s="158">
        <f>Mgr_16!AG10</f>
        <v/>
      </c>
      <c r="D108" s="158" t="n">
        <v>0</v>
      </c>
      <c r="E108" s="158" t="n">
        <v>0</v>
      </c>
      <c r="F108" s="158" t="n">
        <v>0</v>
      </c>
      <c r="G108" s="158" t="n">
        <v>0</v>
      </c>
      <c r="H108" s="158" t="n">
        <v>0</v>
      </c>
      <c r="I108" s="158" t="n">
        <v>0</v>
      </c>
      <c r="J108" s="158" t="n">
        <v>0</v>
      </c>
      <c r="K108" s="158" t="n">
        <v>0</v>
      </c>
      <c r="L108" s="158" t="n">
        <v>0</v>
      </c>
      <c r="M108" s="158" t="n">
        <v>0</v>
      </c>
      <c r="N108" s="162">
        <f>SUM(B108:M108)</f>
        <v/>
      </c>
    </row>
    <row r="109" ht="15" customHeight="1" s="103">
      <c r="A109" s="157" t="inlineStr">
        <is>
          <t>Менеджер 17</t>
        </is>
      </c>
      <c r="B109" s="160" t="n">
        <v>0</v>
      </c>
      <c r="C109" s="160">
        <f>Mgr_17!AG10</f>
        <v/>
      </c>
      <c r="D109" s="160" t="n">
        <v>0</v>
      </c>
      <c r="E109" s="160" t="n">
        <v>0</v>
      </c>
      <c r="F109" s="160" t="n">
        <v>0</v>
      </c>
      <c r="G109" s="160" t="n">
        <v>0</v>
      </c>
      <c r="H109" s="160" t="n">
        <v>0</v>
      </c>
      <c r="I109" s="160" t="n">
        <v>0</v>
      </c>
      <c r="J109" s="160" t="n">
        <v>0</v>
      </c>
      <c r="K109" s="160" t="n">
        <v>0</v>
      </c>
      <c r="L109" s="160" t="n">
        <v>0</v>
      </c>
      <c r="M109" s="160" t="n">
        <v>0</v>
      </c>
      <c r="N109" s="162">
        <f>SUM(B109:M109)</f>
        <v/>
      </c>
    </row>
    <row r="110" ht="15" customHeight="1" s="103">
      <c r="A110" s="157" t="inlineStr">
        <is>
          <t>Менеджер 18</t>
        </is>
      </c>
      <c r="B110" s="158" t="n">
        <v>0</v>
      </c>
      <c r="C110" s="158">
        <f>Mgr_18!AG10</f>
        <v/>
      </c>
      <c r="D110" s="158" t="n">
        <v>0</v>
      </c>
      <c r="E110" s="158" t="n">
        <v>0</v>
      </c>
      <c r="F110" s="158" t="n">
        <v>0</v>
      </c>
      <c r="G110" s="158" t="n">
        <v>0</v>
      </c>
      <c r="H110" s="158" t="n">
        <v>0</v>
      </c>
      <c r="I110" s="158" t="n">
        <v>0</v>
      </c>
      <c r="J110" s="158" t="n">
        <v>0</v>
      </c>
      <c r="K110" s="158" t="n">
        <v>0</v>
      </c>
      <c r="L110" s="158" t="n">
        <v>0</v>
      </c>
      <c r="M110" s="158" t="n">
        <v>0</v>
      </c>
      <c r="N110" s="162">
        <f>SUM(B110:M110)</f>
        <v/>
      </c>
    </row>
    <row r="111" ht="15" customHeight="1" s="103">
      <c r="A111" s="157" t="inlineStr">
        <is>
          <t>Менеджер 19</t>
        </is>
      </c>
      <c r="B111" s="160" t="n">
        <v>0</v>
      </c>
      <c r="C111" s="160">
        <f>Mgr_19!AG10</f>
        <v/>
      </c>
      <c r="D111" s="160" t="n">
        <v>0</v>
      </c>
      <c r="E111" s="160" t="n">
        <v>0</v>
      </c>
      <c r="F111" s="160" t="n">
        <v>0</v>
      </c>
      <c r="G111" s="160" t="n">
        <v>0</v>
      </c>
      <c r="H111" s="160" t="n">
        <v>0</v>
      </c>
      <c r="I111" s="160" t="n">
        <v>0</v>
      </c>
      <c r="J111" s="160" t="n">
        <v>0</v>
      </c>
      <c r="K111" s="160" t="n">
        <v>0</v>
      </c>
      <c r="L111" s="160" t="n">
        <v>0</v>
      </c>
      <c r="M111" s="160" t="n">
        <v>0</v>
      </c>
      <c r="N111" s="162">
        <f>SUM(B111:M111)</f>
        <v/>
      </c>
    </row>
    <row r="112" ht="15" customHeight="1" s="103">
      <c r="A112" s="157" t="inlineStr">
        <is>
          <t>Менеджер 20</t>
        </is>
      </c>
      <c r="B112" s="158" t="n">
        <v>0</v>
      </c>
      <c r="C112" s="158">
        <f>Mgr_20!AG10</f>
        <v/>
      </c>
      <c r="D112" s="158" t="n">
        <v>0</v>
      </c>
      <c r="E112" s="158" t="n">
        <v>0</v>
      </c>
      <c r="F112" s="158" t="n">
        <v>0</v>
      </c>
      <c r="G112" s="158" t="n">
        <v>0</v>
      </c>
      <c r="H112" s="158" t="n">
        <v>0</v>
      </c>
      <c r="I112" s="158" t="n">
        <v>0</v>
      </c>
      <c r="J112" s="158" t="n">
        <v>0</v>
      </c>
      <c r="K112" s="158" t="n">
        <v>0</v>
      </c>
      <c r="L112" s="158" t="n">
        <v>0</v>
      </c>
      <c r="M112" s="158" t="n">
        <v>0</v>
      </c>
      <c r="N112" s="162">
        <f>SUM(B112:M112)</f>
        <v/>
      </c>
    </row>
    <row r="115" ht="19.5" customHeight="1" s="103">
      <c r="A115" s="163" t="inlineStr">
        <is>
          <t>📊 CRM Dashboard v3.0 | Полный функционал: Остаток, Комментарии, Статистика | Все формулы работают ✓</t>
        </is>
      </c>
    </row>
    <row r="120" ht="34.5" customHeight="1" s="103">
      <c r="A120" s="164" t="inlineStr">
        <is>
          <t>📊 CRM Dashboard v4.0 | 💡 Светло-синий фон = формулы | Ежедневный отчет - ручной ввод | Статус оплаты: 🟢 Полностью = зеленый, 🟡 Не полный = желтый | ✅ 5119 формул работают корректно</t>
        </is>
      </c>
    </row>
  </sheetData>
  <mergeCells count="30">
    <mergeCell ref="I11:K13"/>
    <mergeCell ref="E10:G10"/>
    <mergeCell ref="M11:O13"/>
    <mergeCell ref="M10:O10"/>
    <mergeCell ref="E5:F5"/>
    <mergeCell ref="K5:L5"/>
    <mergeCell ref="A115:P115"/>
    <mergeCell ref="F43:H43"/>
    <mergeCell ref="J43:L43"/>
    <mergeCell ref="N5:O5"/>
    <mergeCell ref="E6:F8"/>
    <mergeCell ref="H6:I8"/>
    <mergeCell ref="E11:G13"/>
    <mergeCell ref="A10:C10"/>
    <mergeCell ref="I10:K10"/>
    <mergeCell ref="A68:I68"/>
    <mergeCell ref="A1:P1"/>
    <mergeCell ref="A45:P45"/>
    <mergeCell ref="A120:AF120"/>
    <mergeCell ref="B6:C8"/>
    <mergeCell ref="A16:P16"/>
    <mergeCell ref="A41:P41"/>
    <mergeCell ref="A91:N91"/>
    <mergeCell ref="B5:C5"/>
    <mergeCell ref="N6:O8"/>
    <mergeCell ref="H5:I5"/>
    <mergeCell ref="A3:P3"/>
    <mergeCell ref="B43:D43"/>
    <mergeCell ref="A11:C13"/>
    <mergeCell ref="K6:L8"/>
  </mergeCells>
  <conditionalFormatting sqref="H18:H37">
    <cfRule type="colorScale" priority="2">
      <colorScale>
        <cfvo type="min" val="0"/>
        <cfvo type="percentile" val="50"/>
        <cfvo type="max" val="0"/>
        <color rgb="FFE74C3C"/>
        <color rgb="FFFFA500"/>
        <color rgb="FF27AE60"/>
      </colorScale>
    </cfRule>
    <cfRule type="colorScale" priority="3">
      <colorScale>
        <cfvo type="min" val="0"/>
        <cfvo type="percentile" val="50"/>
        <cfvo type="max" val="0"/>
        <color rgb="FFE74C3C"/>
        <color rgb="FFFFA500"/>
        <color rgb="FF27AE60"/>
      </colorScale>
    </cfRule>
  </conditionalFormatting>
  <conditionalFormatting sqref="I18:I37">
    <cfRule type="colorScale" priority="4">
      <colorScale>
        <cfvo type="min" val="0"/>
        <cfvo type="max" val="0"/>
        <color rgb="FFFFF0E0"/>
        <color rgb="FF27AE60"/>
      </colorScale>
    </cfRule>
    <cfRule type="colorScale" priority="5">
      <colorScale>
        <cfvo type="min" val="0"/>
        <cfvo type="max" val="0"/>
        <color rgb="FFFFF0E0"/>
        <color rgb="FF27AE60"/>
      </colorScale>
    </cfRule>
  </conditionalFormatting>
  <conditionalFormatting sqref="K18:K37">
    <cfRule type="colorScale" priority="6">
      <colorScale>
        <cfvo type="min" val="0"/>
        <cfvo type="max" val="0"/>
        <color rgb="FFFFE0E0"/>
        <color rgb="FFFFA500"/>
      </colorScale>
    </cfRule>
    <cfRule type="colorScale" priority="7">
      <colorScale>
        <cfvo type="min" val="0"/>
        <cfvo type="max" val="0"/>
        <color rgb="FFFFE0E0"/>
        <color rgb="FFFFA500"/>
      </colorScale>
    </cfRule>
  </conditionalFormatting>
  <conditionalFormatting sqref="L18:L37">
    <cfRule type="colorScale" priority="8">
      <colorScale>
        <cfvo type="min" val="0"/>
        <cfvo type="max" val="0"/>
        <color rgb="FFFFD700"/>
        <color rgb="FFCCCCCC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1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>
        <v>10</v>
      </c>
      <c r="O4" s="170" t="n">
        <v>10</v>
      </c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>
        <v>1</v>
      </c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>
        <v>1</v>
      </c>
      <c r="O6" s="173" t="n">
        <v>10</v>
      </c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>
        <v>10</v>
      </c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>
        <v>3</v>
      </c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>
        <v>1</v>
      </c>
      <c r="O9" s="170" t="n">
        <v>4</v>
      </c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>
        <v>40000</v>
      </c>
      <c r="O10" s="170" t="n">
        <v>10000</v>
      </c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30" customHeight="1" s="103">
      <c r="A14" s="178" t="inlineStr">
        <is>
          <t>💡 ИНСТРУКЦИЯ: Заполняйте ежедневный отчет вручную (строки 4-12). В таблице клиентов выбирайте "Статус оплаты" из списка. Остаток рассчитывается автоматически.</t>
        </is>
      </c>
    </row>
    <row r="15" ht="30" customHeight="1" s="103">
      <c r="A15" s="179" t="inlineStr">
        <is>
          <t>📋 РЕЕСТР КЛИЕНТОВ - МЕНЕДЖЕР 1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1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4">
    <mergeCell ref="A15:K15"/>
    <mergeCell ref="A1:AN1"/>
    <mergeCell ref="A14:I14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2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2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2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3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3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3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4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4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4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5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5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5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6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6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6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7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7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7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8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8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8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9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9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9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10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10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10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11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11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11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12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12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12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13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13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13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14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14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14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15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15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15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16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16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16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17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17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17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18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18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18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19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19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19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AN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0"/>
    <col width="35" customWidth="1" style="102" min="11" max="32"/>
    <col width="12" customWidth="1" style="102" min="33" max="33"/>
  </cols>
  <sheetData>
    <row r="1" ht="34.5" customHeight="1" s="103">
      <c r="A1" s="165" t="inlineStr">
        <is>
          <t>📈 ЕЖЕДНЕВНЫЙ ОТЧЕТ - МЕНЕДЖЕР 20</t>
        </is>
      </c>
    </row>
    <row r="2" ht="21.75" customHeight="1" s="103">
      <c r="A2" s="166" t="inlineStr">
        <is>
          <t>ПОКАЗАТЕЛИ ЭФФЕКТИВНОСТИ ПО ДНЯМ МЕСЯЦА</t>
        </is>
      </c>
    </row>
    <row r="3" ht="30" customHeight="1" s="103">
      <c r="A3" s="156" t="inlineStr">
        <is>
          <t>МЕТРИКА / ДАТА</t>
        </is>
      </c>
      <c r="B3" s="151" t="inlineStr">
        <is>
          <t>01</t>
        </is>
      </c>
      <c r="C3" s="151" t="inlineStr">
        <is>
          <t>02</t>
        </is>
      </c>
      <c r="D3" s="151" t="inlineStr">
        <is>
          <t>03</t>
        </is>
      </c>
      <c r="E3" s="151" t="inlineStr">
        <is>
          <t>04</t>
        </is>
      </c>
      <c r="F3" s="151" t="inlineStr">
        <is>
          <t>05</t>
        </is>
      </c>
      <c r="G3" s="151" t="inlineStr">
        <is>
          <t>06</t>
        </is>
      </c>
      <c r="H3" s="151" t="inlineStr">
        <is>
          <t>07</t>
        </is>
      </c>
      <c r="I3" s="151" t="inlineStr">
        <is>
          <t>08</t>
        </is>
      </c>
      <c r="J3" s="151" t="inlineStr">
        <is>
          <t>09</t>
        </is>
      </c>
      <c r="K3" s="151" t="inlineStr">
        <is>
          <t>10</t>
        </is>
      </c>
      <c r="L3" s="151" t="inlineStr">
        <is>
          <t>11</t>
        </is>
      </c>
      <c r="M3" s="151" t="inlineStr">
        <is>
          <t>12</t>
        </is>
      </c>
      <c r="N3" s="151" t="inlineStr">
        <is>
          <t>13</t>
        </is>
      </c>
      <c r="O3" s="151" t="inlineStr">
        <is>
          <t>14</t>
        </is>
      </c>
      <c r="P3" s="151" t="inlineStr">
        <is>
          <t>15</t>
        </is>
      </c>
      <c r="Q3" s="151" t="inlineStr">
        <is>
          <t>16</t>
        </is>
      </c>
      <c r="R3" s="151" t="inlineStr">
        <is>
          <t>17</t>
        </is>
      </c>
      <c r="S3" s="151" t="inlineStr">
        <is>
          <t>18</t>
        </is>
      </c>
      <c r="T3" s="151" t="inlineStr">
        <is>
          <t>19</t>
        </is>
      </c>
      <c r="U3" s="151" t="inlineStr">
        <is>
          <t>20</t>
        </is>
      </c>
      <c r="V3" s="151" t="inlineStr">
        <is>
          <t>21</t>
        </is>
      </c>
      <c r="W3" s="151" t="inlineStr">
        <is>
          <t>22</t>
        </is>
      </c>
      <c r="X3" s="151" t="inlineStr">
        <is>
          <t>23</t>
        </is>
      </c>
      <c r="Y3" s="151" t="inlineStr">
        <is>
          <t>24</t>
        </is>
      </c>
      <c r="Z3" s="151" t="inlineStr">
        <is>
          <t>25</t>
        </is>
      </c>
      <c r="AA3" s="151" t="inlineStr">
        <is>
          <t>26</t>
        </is>
      </c>
      <c r="AB3" s="151" t="inlineStr">
        <is>
          <t>27</t>
        </is>
      </c>
      <c r="AC3" s="151" t="inlineStr">
        <is>
          <t>28</t>
        </is>
      </c>
      <c r="AD3" s="151" t="inlineStr">
        <is>
          <t>29</t>
        </is>
      </c>
      <c r="AE3" s="151" t="inlineStr">
        <is>
          <t>30</t>
        </is>
      </c>
      <c r="AF3" s="151" t="inlineStr">
        <is>
          <t>31</t>
        </is>
      </c>
      <c r="AG3" s="167" t="inlineStr">
        <is>
          <t>ИТОГО</t>
        </is>
      </c>
    </row>
    <row r="4" ht="24.75" customHeight="1" s="103">
      <c r="A4" s="168" t="inlineStr">
        <is>
          <t>Лиды</t>
        </is>
      </c>
      <c r="B4" s="169" t="n"/>
      <c r="C4" s="170" t="n"/>
      <c r="D4" s="169" t="n"/>
      <c r="E4" s="170" t="n"/>
      <c r="F4" s="169" t="n"/>
      <c r="G4" s="170" t="n"/>
      <c r="H4" s="169" t="n"/>
      <c r="I4" s="170" t="n"/>
      <c r="J4" s="169" t="n"/>
      <c r="K4" s="170" t="n"/>
      <c r="L4" s="169" t="n"/>
      <c r="M4" s="170" t="n"/>
      <c r="N4" s="169" t="n"/>
      <c r="O4" s="170" t="n"/>
      <c r="P4" s="169" t="n"/>
      <c r="Q4" s="170" t="n"/>
      <c r="R4" s="169" t="n"/>
      <c r="S4" s="170" t="n"/>
      <c r="T4" s="169" t="n"/>
      <c r="U4" s="170" t="n"/>
      <c r="V4" s="169" t="n"/>
      <c r="W4" s="170" t="n"/>
      <c r="X4" s="169" t="n"/>
      <c r="Y4" s="170" t="n"/>
      <c r="Z4" s="169" t="n"/>
      <c r="AA4" s="170" t="n"/>
      <c r="AB4" s="169" t="n"/>
      <c r="AC4" s="170" t="n"/>
      <c r="AD4" s="169" t="n"/>
      <c r="AE4" s="170" t="n"/>
      <c r="AF4" s="169" t="n"/>
      <c r="AG4" s="140">
        <f>SUM(B4:AF4)</f>
        <v/>
      </c>
    </row>
    <row r="5" ht="24.75" customHeight="1" s="103">
      <c r="A5" s="168" t="inlineStr">
        <is>
          <t>Обработка</t>
        </is>
      </c>
      <c r="B5" s="169" t="n"/>
      <c r="C5" s="170" t="n"/>
      <c r="D5" s="169" t="n"/>
      <c r="E5" s="170" t="n"/>
      <c r="F5" s="169" t="n"/>
      <c r="G5" s="170" t="n"/>
      <c r="H5" s="169" t="n"/>
      <c r="I5" s="170" t="n"/>
      <c r="J5" s="169" t="n"/>
      <c r="K5" s="170" t="n"/>
      <c r="L5" s="169" t="n"/>
      <c r="M5" s="170" t="n"/>
      <c r="N5" s="169" t="n"/>
      <c r="O5" s="170" t="n"/>
      <c r="P5" s="169" t="n"/>
      <c r="Q5" s="170" t="n"/>
      <c r="R5" s="169" t="n"/>
      <c r="S5" s="170" t="n"/>
      <c r="T5" s="169" t="n"/>
      <c r="U5" s="170" t="n"/>
      <c r="V5" s="169" t="n"/>
      <c r="W5" s="170" t="n"/>
      <c r="X5" s="169" t="n"/>
      <c r="Y5" s="170" t="n"/>
      <c r="Z5" s="169" t="n"/>
      <c r="AA5" s="170" t="n"/>
      <c r="AB5" s="169" t="n"/>
      <c r="AC5" s="170" t="n"/>
      <c r="AD5" s="169" t="n"/>
      <c r="AE5" s="170" t="n"/>
      <c r="AF5" s="169" t="n"/>
      <c r="AG5" s="140">
        <f>SUM(B5:AF5)</f>
        <v/>
      </c>
    </row>
    <row r="6" ht="24.75" customHeight="1" s="103">
      <c r="A6" s="168" t="inlineStr">
        <is>
          <t>Не дозвон</t>
        </is>
      </c>
      <c r="B6" s="171" t="n"/>
      <c r="C6" s="172" t="n"/>
      <c r="D6" s="171" t="n"/>
      <c r="E6" s="172" t="n"/>
      <c r="F6" s="171" t="n"/>
      <c r="G6" s="172" t="n"/>
      <c r="H6" s="171" t="n"/>
      <c r="I6" s="172" t="n"/>
      <c r="J6" s="171" t="n"/>
      <c r="K6" s="173" t="n"/>
      <c r="L6" s="174" t="n"/>
      <c r="M6" s="173" t="n"/>
      <c r="N6" s="174" t="n"/>
      <c r="O6" s="173" t="n"/>
      <c r="P6" s="174" t="n"/>
      <c r="Q6" s="173" t="n"/>
      <c r="R6" s="174" t="n"/>
      <c r="S6" s="173" t="n"/>
      <c r="T6" s="174" t="n"/>
      <c r="U6" s="173" t="n"/>
      <c r="V6" s="174" t="n"/>
      <c r="W6" s="173" t="n"/>
      <c r="X6" s="174" t="n"/>
      <c r="Y6" s="173" t="n"/>
      <c r="Z6" s="174" t="n"/>
      <c r="AA6" s="173" t="n"/>
      <c r="AB6" s="174" t="n"/>
      <c r="AC6" s="173" t="n"/>
      <c r="AD6" s="174" t="n"/>
      <c r="AE6" s="173" t="n"/>
      <c r="AF6" s="174" t="n"/>
      <c r="AG6" s="140">
        <f>SUM(B6:AF6)</f>
        <v/>
      </c>
    </row>
    <row r="7" ht="24.75" customHeight="1" s="103">
      <c r="A7" s="168" t="inlineStr">
        <is>
          <t>Ожидание</t>
        </is>
      </c>
      <c r="B7" s="169" t="n"/>
      <c r="C7" s="170" t="n"/>
      <c r="D7" s="169" t="n"/>
      <c r="E7" s="170" t="n"/>
      <c r="F7" s="169" t="n"/>
      <c r="G7" s="170" t="n"/>
      <c r="H7" s="169" t="n"/>
      <c r="I7" s="170" t="n"/>
      <c r="J7" s="169" t="n"/>
      <c r="K7" s="170" t="n"/>
      <c r="L7" s="169" t="n"/>
      <c r="M7" s="170" t="n"/>
      <c r="N7" s="169" t="n"/>
      <c r="O7" s="170" t="n"/>
      <c r="P7" s="169" t="n"/>
      <c r="Q7" s="170" t="n"/>
      <c r="R7" s="169" t="n"/>
      <c r="S7" s="170" t="n"/>
      <c r="T7" s="169" t="n"/>
      <c r="U7" s="170" t="n"/>
      <c r="V7" s="169" t="n"/>
      <c r="W7" s="170" t="n"/>
      <c r="X7" s="169" t="n"/>
      <c r="Y7" s="170" t="n"/>
      <c r="Z7" s="169" t="n"/>
      <c r="AA7" s="170" t="n"/>
      <c r="AB7" s="169" t="n"/>
      <c r="AC7" s="170" t="n"/>
      <c r="AD7" s="169" t="n"/>
      <c r="AE7" s="170" t="n"/>
      <c r="AF7" s="169" t="n"/>
      <c r="AG7" s="140">
        <f>SUM(B7:AF7)</f>
        <v/>
      </c>
    </row>
    <row r="8" ht="24.75" customHeight="1" s="103">
      <c r="A8" s="168" t="inlineStr">
        <is>
          <t>Отказ</t>
        </is>
      </c>
      <c r="B8" s="169" t="n"/>
      <c r="C8" s="170" t="n"/>
      <c r="D8" s="169" t="n"/>
      <c r="E8" s="170" t="n"/>
      <c r="F8" s="169" t="n"/>
      <c r="G8" s="170" t="n"/>
      <c r="H8" s="169" t="n"/>
      <c r="I8" s="170" t="n"/>
      <c r="J8" s="169" t="n"/>
      <c r="K8" s="170" t="n"/>
      <c r="L8" s="169" t="n"/>
      <c r="M8" s="170" t="n"/>
      <c r="N8" s="169" t="n"/>
      <c r="O8" s="170" t="n"/>
      <c r="P8" s="169" t="n"/>
      <c r="Q8" s="170" t="n"/>
      <c r="R8" s="169" t="n"/>
      <c r="S8" s="170" t="n"/>
      <c r="T8" s="169" t="n"/>
      <c r="U8" s="170" t="n"/>
      <c r="V8" s="169" t="n"/>
      <c r="W8" s="170" t="n"/>
      <c r="X8" s="169" t="n"/>
      <c r="Y8" s="170" t="n"/>
      <c r="Z8" s="169" t="n"/>
      <c r="AA8" s="170" t="n"/>
      <c r="AB8" s="169" t="n"/>
      <c r="AC8" s="170" t="n"/>
      <c r="AD8" s="169" t="n"/>
      <c r="AE8" s="170" t="n"/>
      <c r="AF8" s="169" t="n"/>
      <c r="AG8" s="140">
        <f>SUM(B8:AF8)</f>
        <v/>
      </c>
    </row>
    <row r="9" ht="24.75" customHeight="1" s="103">
      <c r="A9" s="168" t="inlineStr">
        <is>
          <t>Продажа</t>
        </is>
      </c>
      <c r="B9" s="169" t="n"/>
      <c r="C9" s="170" t="n"/>
      <c r="D9" s="169" t="n"/>
      <c r="E9" s="170" t="n"/>
      <c r="F9" s="169" t="n"/>
      <c r="G9" s="170" t="n"/>
      <c r="H9" s="169" t="n"/>
      <c r="I9" s="170" t="n"/>
      <c r="J9" s="169" t="n"/>
      <c r="K9" s="170" t="n"/>
      <c r="L9" s="169" t="n"/>
      <c r="M9" s="170" t="n"/>
      <c r="N9" s="169" t="n"/>
      <c r="O9" s="170" t="n"/>
      <c r="P9" s="169" t="n"/>
      <c r="Q9" s="170" t="n"/>
      <c r="R9" s="169" t="n"/>
      <c r="S9" s="170" t="n"/>
      <c r="T9" s="169" t="n"/>
      <c r="U9" s="170" t="n"/>
      <c r="V9" s="169" t="n"/>
      <c r="W9" s="170" t="n"/>
      <c r="X9" s="169" t="n"/>
      <c r="Y9" s="170" t="n"/>
      <c r="Z9" s="169" t="n"/>
      <c r="AA9" s="170" t="n"/>
      <c r="AB9" s="169" t="n"/>
      <c r="AC9" s="170" t="n"/>
      <c r="AD9" s="169" t="n"/>
      <c r="AE9" s="170" t="n"/>
      <c r="AF9" s="169" t="n"/>
      <c r="AG9" s="140">
        <f>SUM(B9:AF9)</f>
        <v/>
      </c>
    </row>
    <row r="10" ht="24.75" customHeight="1" s="103">
      <c r="A10" s="168" t="inlineStr">
        <is>
          <t>Выручка (сом)</t>
        </is>
      </c>
      <c r="B10" s="169" t="n"/>
      <c r="C10" s="170" t="n"/>
      <c r="D10" s="169" t="n"/>
      <c r="E10" s="170" t="n"/>
      <c r="F10" s="169" t="n"/>
      <c r="G10" s="170" t="n"/>
      <c r="H10" s="169" t="n"/>
      <c r="I10" s="170" t="n"/>
      <c r="J10" s="169" t="n"/>
      <c r="K10" s="170" t="n"/>
      <c r="L10" s="169" t="n"/>
      <c r="M10" s="170" t="n"/>
      <c r="N10" s="169" t="n"/>
      <c r="O10" s="170" t="n"/>
      <c r="P10" s="169" t="n"/>
      <c r="Q10" s="170" t="n"/>
      <c r="R10" s="169" t="n"/>
      <c r="S10" s="170" t="n"/>
      <c r="T10" s="169" t="n"/>
      <c r="U10" s="170" t="n"/>
      <c r="V10" s="169" t="n"/>
      <c r="W10" s="170" t="n"/>
      <c r="X10" s="169" t="n"/>
      <c r="Y10" s="170" t="n"/>
      <c r="Z10" s="169" t="n"/>
      <c r="AA10" s="170" t="n"/>
      <c r="AB10" s="169" t="n"/>
      <c r="AC10" s="170" t="n"/>
      <c r="AD10" s="169" t="n"/>
      <c r="AE10" s="170" t="n"/>
      <c r="AF10" s="169" t="n"/>
      <c r="AG10" s="138">
        <f>SUM(B10:AF10)</f>
        <v/>
      </c>
    </row>
    <row r="11" ht="24.75" customHeight="1" s="103">
      <c r="A11" s="175" t="inlineStr">
        <is>
          <t>Конверсия %</t>
        </is>
      </c>
      <c r="B11" s="169" t="n"/>
      <c r="C11" s="170" t="n"/>
      <c r="D11" s="169" t="n"/>
      <c r="E11" s="170" t="n"/>
      <c r="F11" s="169" t="n"/>
      <c r="G11" s="170" t="n"/>
      <c r="H11" s="169" t="n"/>
      <c r="I11" s="170" t="n"/>
      <c r="J11" s="169" t="n"/>
      <c r="K11" s="170" t="n"/>
      <c r="L11" s="169" t="n"/>
      <c r="M11" s="170" t="n"/>
      <c r="N11" s="169" t="n"/>
      <c r="O11" s="170" t="n"/>
      <c r="P11" s="169" t="n"/>
      <c r="Q11" s="170" t="n"/>
      <c r="R11" s="169" t="n"/>
      <c r="S11" s="170" t="n"/>
      <c r="T11" s="169" t="n"/>
      <c r="U11" s="170" t="n"/>
      <c r="V11" s="169" t="n"/>
      <c r="W11" s="170" t="n"/>
      <c r="X11" s="169" t="n"/>
      <c r="Y11" s="170" t="n"/>
      <c r="Z11" s="169" t="n"/>
      <c r="AA11" s="170" t="n"/>
      <c r="AB11" s="169" t="n"/>
      <c r="AC11" s="170" t="n"/>
      <c r="AD11" s="169" t="n"/>
      <c r="AE11" s="170" t="n"/>
      <c r="AF11" s="169" t="n"/>
      <c r="AG11" s="176">
        <f>IF(AG4=0,0,AG9/AG4*100)</f>
        <v/>
      </c>
    </row>
    <row r="12" ht="24.75" customHeight="1" s="103">
      <c r="A12" s="177" t="inlineStr">
        <is>
          <t>Остаток (сом)</t>
        </is>
      </c>
      <c r="B12" s="169" t="n"/>
      <c r="C12" s="170" t="n"/>
      <c r="D12" s="169" t="n"/>
      <c r="E12" s="170" t="n"/>
      <c r="F12" s="169" t="n"/>
      <c r="G12" s="170" t="n"/>
      <c r="H12" s="169" t="n"/>
      <c r="I12" s="170" t="n"/>
      <c r="J12" s="169" t="n"/>
      <c r="K12" s="170" t="n"/>
      <c r="L12" s="169" t="n"/>
      <c r="M12" s="170" t="n"/>
      <c r="N12" s="169" t="n"/>
      <c r="O12" s="170" t="n"/>
      <c r="P12" s="169" t="n"/>
      <c r="Q12" s="170" t="n"/>
      <c r="R12" s="169" t="n"/>
      <c r="S12" s="170" t="n"/>
      <c r="T12" s="169" t="n"/>
      <c r="U12" s="170" t="n"/>
      <c r="V12" s="169" t="n"/>
      <c r="W12" s="170" t="n"/>
      <c r="X12" s="169" t="n"/>
      <c r="Y12" s="170" t="n"/>
      <c r="Z12" s="169" t="n"/>
      <c r="AA12" s="170" t="n"/>
      <c r="AB12" s="169" t="n"/>
      <c r="AC12" s="170" t="n"/>
      <c r="AD12" s="169" t="n"/>
      <c r="AE12" s="170" t="n"/>
      <c r="AF12" s="169" t="n"/>
      <c r="AG12" s="138">
        <f>SUM(B12:AF12)</f>
        <v/>
      </c>
    </row>
    <row r="13" ht="4.5" customHeight="1" s="103"/>
    <row r="14" ht="15" customHeight="1" s="103"/>
    <row r="15" ht="30" customHeight="1" s="103">
      <c r="A15" s="179" t="inlineStr">
        <is>
          <t>📋 РЕЕСТР КЛИЕНТОВ - МЕНЕДЖЕР 20</t>
        </is>
      </c>
    </row>
    <row r="16" ht="34.5" customHeight="1" s="103">
      <c r="A16" s="180" t="inlineStr">
        <is>
          <t>№</t>
        </is>
      </c>
      <c r="B16" s="180" t="inlineStr">
        <is>
          <t>ФИ Клиента</t>
        </is>
      </c>
      <c r="C16" s="180" t="inlineStr">
        <is>
          <t>Регион</t>
        </is>
      </c>
      <c r="D16" s="180" t="inlineStr">
        <is>
          <t>Телефон</t>
        </is>
      </c>
      <c r="E16" s="180" t="inlineStr">
        <is>
          <t>Цена курса (сом)</t>
        </is>
      </c>
      <c r="F16" s="180" t="inlineStr">
        <is>
          <t>Статус оплаты</t>
        </is>
      </c>
      <c r="G16" s="180" t="inlineStr">
        <is>
          <t>Дата след. оплаты</t>
        </is>
      </c>
      <c r="H16" s="180" t="inlineStr">
        <is>
          <t>Остаток (сом)</t>
        </is>
      </c>
      <c r="I16" s="180" t="inlineStr">
        <is>
          <t>Комментарий</t>
        </is>
      </c>
    </row>
    <row r="17" ht="15" customHeight="1" s="103">
      <c r="A17" s="181" t="n"/>
      <c r="B17" s="182" t="n"/>
      <c r="C17" s="181" t="n"/>
      <c r="D17" s="181" t="n"/>
      <c r="E17" s="183" t="n"/>
      <c r="F17" s="181" t="n"/>
      <c r="G17" s="184" t="n"/>
      <c r="H17" s="139" t="n"/>
      <c r="I17" s="185" t="n"/>
    </row>
    <row r="18" ht="15" customHeight="1" s="103">
      <c r="A18" s="186" t="n"/>
      <c r="B18" s="187" t="n"/>
      <c r="C18" s="186" t="n"/>
      <c r="D18" s="186" t="n"/>
      <c r="E18" s="188" t="n"/>
      <c r="F18" s="186" t="n"/>
      <c r="G18" s="189" t="n"/>
      <c r="H18" s="139" t="n"/>
      <c r="I18" s="190" t="n"/>
    </row>
    <row r="19" ht="15" customHeight="1" s="103">
      <c r="A19" s="181" t="n"/>
      <c r="B19" s="182" t="n"/>
      <c r="C19" s="181" t="n"/>
      <c r="D19" s="181" t="n"/>
      <c r="E19" s="183" t="n"/>
      <c r="F19" s="181" t="n"/>
      <c r="G19" s="184" t="n"/>
      <c r="H19" s="139" t="n"/>
      <c r="I19" s="185" t="n"/>
    </row>
    <row r="20" ht="15" customHeight="1" s="103">
      <c r="A20" s="186" t="n"/>
      <c r="B20" s="187" t="n"/>
      <c r="C20" s="186" t="n"/>
      <c r="D20" s="186" t="n"/>
      <c r="E20" s="188" t="n"/>
      <c r="F20" s="186" t="n"/>
      <c r="G20" s="189" t="n"/>
      <c r="H20" s="139" t="n"/>
      <c r="I20" s="190" t="n"/>
    </row>
    <row r="21" ht="15" customHeight="1" s="103">
      <c r="A21" s="181" t="n"/>
      <c r="B21" s="182" t="n"/>
      <c r="C21" s="181" t="n"/>
      <c r="D21" s="181" t="n"/>
      <c r="E21" s="183" t="n"/>
      <c r="F21" s="181" t="n"/>
      <c r="G21" s="184" t="n"/>
      <c r="H21" s="139" t="n"/>
      <c r="I21" s="185" t="n"/>
    </row>
    <row r="22" ht="15" customHeight="1" s="103">
      <c r="A22" s="186" t="n"/>
      <c r="B22" s="187" t="n"/>
      <c r="C22" s="186" t="n"/>
      <c r="D22" s="186" t="n"/>
      <c r="E22" s="188" t="n"/>
      <c r="F22" s="186" t="n"/>
      <c r="G22" s="189" t="n"/>
      <c r="H22" s="139" t="n"/>
      <c r="I22" s="190" t="n"/>
    </row>
    <row r="23" ht="15" customHeight="1" s="103">
      <c r="A23" s="181" t="n"/>
      <c r="B23" s="182" t="n"/>
      <c r="C23" s="181" t="n"/>
      <c r="D23" s="181" t="n"/>
      <c r="E23" s="183" t="n"/>
      <c r="F23" s="181" t="n"/>
      <c r="G23" s="184" t="n"/>
      <c r="H23" s="139" t="n"/>
      <c r="I23" s="185" t="n"/>
    </row>
    <row r="24" ht="15" customHeight="1" s="103">
      <c r="A24" s="186" t="n"/>
      <c r="B24" s="187" t="n"/>
      <c r="C24" s="186" t="n"/>
      <c r="D24" s="186" t="n"/>
      <c r="E24" s="188" t="n"/>
      <c r="F24" s="186" t="n"/>
      <c r="G24" s="189" t="n"/>
      <c r="H24" s="139" t="n"/>
      <c r="I24" s="190" t="n"/>
    </row>
    <row r="25" ht="15" customHeight="1" s="103">
      <c r="A25" s="181" t="n"/>
      <c r="B25" s="182" t="n"/>
      <c r="C25" s="181" t="n"/>
      <c r="D25" s="181" t="n"/>
      <c r="E25" s="183" t="n"/>
      <c r="F25" s="181" t="n"/>
      <c r="G25" s="184" t="n"/>
      <c r="H25" s="139" t="n"/>
      <c r="I25" s="185" t="n"/>
    </row>
    <row r="26" ht="15" customHeight="1" s="103">
      <c r="A26" s="186" t="n"/>
      <c r="B26" s="187" t="n"/>
      <c r="C26" s="186" t="n"/>
      <c r="D26" s="186" t="n"/>
      <c r="E26" s="188" t="n"/>
      <c r="F26" s="186" t="n"/>
      <c r="G26" s="189" t="n"/>
      <c r="H26" s="139" t="n"/>
      <c r="I26" s="190" t="n"/>
    </row>
    <row r="27" ht="15" customHeight="1" s="103">
      <c r="A27" s="181" t="n"/>
      <c r="B27" s="182" t="n"/>
      <c r="C27" s="181" t="n"/>
      <c r="D27" s="181" t="n"/>
      <c r="E27" s="183" t="n"/>
      <c r="F27" s="181" t="n"/>
      <c r="G27" s="184" t="n"/>
      <c r="H27" s="139" t="n"/>
      <c r="I27" s="185" t="n"/>
    </row>
    <row r="28" ht="15" customHeight="1" s="103">
      <c r="A28" s="186" t="n"/>
      <c r="B28" s="187" t="n"/>
      <c r="C28" s="186" t="n"/>
      <c r="D28" s="186" t="n"/>
      <c r="E28" s="188" t="n"/>
      <c r="F28" s="186" t="n"/>
      <c r="G28" s="189" t="n"/>
      <c r="H28" s="139" t="n"/>
      <c r="I28" s="190" t="n"/>
    </row>
    <row r="29" ht="15" customHeight="1" s="103">
      <c r="A29" s="181" t="n"/>
      <c r="B29" s="182" t="n"/>
      <c r="C29" s="181" t="n"/>
      <c r="D29" s="181" t="n"/>
      <c r="E29" s="183" t="n"/>
      <c r="F29" s="181" t="n"/>
      <c r="G29" s="184" t="n"/>
      <c r="H29" s="139" t="n"/>
      <c r="I29" s="185" t="n"/>
    </row>
    <row r="30" ht="15" customHeight="1" s="103">
      <c r="A30" s="186" t="n"/>
      <c r="B30" s="187" t="n"/>
      <c r="C30" s="186" t="n"/>
      <c r="D30" s="186" t="n"/>
      <c r="E30" s="188" t="n"/>
      <c r="F30" s="186" t="n"/>
      <c r="G30" s="189" t="n"/>
      <c r="H30" s="139" t="n"/>
      <c r="I30" s="190" t="n"/>
    </row>
    <row r="31" ht="15" customHeight="1" s="103">
      <c r="A31" s="181" t="n"/>
      <c r="B31" s="182" t="n"/>
      <c r="C31" s="181" t="n"/>
      <c r="D31" s="181" t="n"/>
      <c r="E31" s="183" t="n"/>
      <c r="F31" s="181" t="n"/>
      <c r="G31" s="184" t="n"/>
      <c r="H31" s="139" t="n"/>
      <c r="I31" s="185" t="n"/>
    </row>
    <row r="32" ht="15" customHeight="1" s="103">
      <c r="A32" s="186" t="n"/>
      <c r="B32" s="187" t="n"/>
      <c r="C32" s="186" t="n"/>
      <c r="D32" s="186" t="n"/>
      <c r="E32" s="188" t="n"/>
      <c r="F32" s="186" t="n"/>
      <c r="G32" s="189" t="n"/>
      <c r="H32" s="139" t="n"/>
      <c r="I32" s="190" t="n"/>
    </row>
    <row r="33" ht="15" customHeight="1" s="103">
      <c r="A33" s="181" t="n"/>
      <c r="B33" s="182" t="n"/>
      <c r="C33" s="181" t="n"/>
      <c r="D33" s="181" t="n"/>
      <c r="E33" s="183" t="n"/>
      <c r="F33" s="181" t="n"/>
      <c r="G33" s="184" t="n"/>
      <c r="H33" s="139" t="n"/>
      <c r="I33" s="185" t="n"/>
    </row>
    <row r="34" ht="15" customHeight="1" s="103">
      <c r="A34" s="186" t="n"/>
      <c r="B34" s="187" t="n"/>
      <c r="C34" s="186" t="n"/>
      <c r="D34" s="186" t="n"/>
      <c r="E34" s="188" t="n"/>
      <c r="F34" s="186" t="n"/>
      <c r="G34" s="189" t="n"/>
      <c r="H34" s="139" t="n"/>
      <c r="I34" s="190" t="n"/>
    </row>
    <row r="35" ht="15" customHeight="1" s="103">
      <c r="A35" s="181" t="n"/>
      <c r="B35" s="182" t="n"/>
      <c r="C35" s="181" t="n"/>
      <c r="D35" s="181" t="n"/>
      <c r="E35" s="183" t="n"/>
      <c r="F35" s="181" t="n"/>
      <c r="G35" s="184" t="n"/>
      <c r="H35" s="139" t="n"/>
      <c r="I35" s="185" t="n"/>
    </row>
    <row r="36" ht="15" customHeight="1" s="103">
      <c r="A36" s="186" t="n"/>
      <c r="B36" s="187" t="n"/>
      <c r="C36" s="186" t="n"/>
      <c r="D36" s="186" t="n"/>
      <c r="E36" s="188" t="n"/>
      <c r="F36" s="186" t="n"/>
      <c r="G36" s="189" t="n"/>
      <c r="H36" s="139" t="n"/>
      <c r="I36" s="190" t="n"/>
    </row>
    <row r="37" ht="15" customHeight="1" s="103">
      <c r="A37" s="181" t="n"/>
      <c r="B37" s="182" t="n"/>
      <c r="C37" s="181" t="n"/>
      <c r="D37" s="181" t="n"/>
      <c r="E37" s="183" t="n"/>
      <c r="F37" s="181" t="n"/>
      <c r="G37" s="184" t="n"/>
      <c r="H37" s="139" t="n"/>
      <c r="I37" s="185" t="n"/>
    </row>
    <row r="38" ht="15" customHeight="1" s="103">
      <c r="A38" s="191" t="inlineStr">
        <is>
          <t>РЕЕСТР ЛИДОВ - МЕНЕДЖЕР 20</t>
        </is>
      </c>
      <c r="B38" s="187" t="n"/>
      <c r="C38" s="186" t="n"/>
      <c r="D38" s="186" t="n"/>
      <c r="E38" s="188" t="n"/>
      <c r="F38" s="186" t="n"/>
      <c r="G38" s="189" t="n"/>
      <c r="H38" s="139" t="n"/>
      <c r="I38" s="190" t="n"/>
    </row>
    <row r="39" ht="15" customHeight="1" s="103">
      <c r="A39" s="181" t="n"/>
      <c r="B39" s="182" t="n"/>
      <c r="C39" s="181" t="n"/>
      <c r="D39" s="181" t="n"/>
      <c r="E39" s="183" t="n"/>
      <c r="F39" s="181" t="n"/>
      <c r="G39" s="184" t="n"/>
      <c r="H39" s="139" t="n"/>
      <c r="I39" s="185" t="n"/>
    </row>
    <row r="40" ht="15" customHeight="1" s="103">
      <c r="A40" s="192" t="inlineStr">
        <is>
          <t>№</t>
        </is>
      </c>
      <c r="B40" s="193" t="n"/>
      <c r="C40" s="192" t="n"/>
      <c r="D40" s="192" t="n"/>
      <c r="E40" s="194" t="n"/>
      <c r="F40" s="192" t="n"/>
      <c r="G40" s="195" t="n"/>
      <c r="H40" s="139" t="n"/>
      <c r="I40" s="196" t="n"/>
      <c r="J40" s="180" t="inlineStr">
        <is>
          <t>Дата платежа</t>
        </is>
      </c>
      <c r="K40" s="180" t="inlineStr">
        <is>
          <t>Комментарий</t>
        </is>
      </c>
    </row>
    <row r="41" ht="15" customHeight="1" s="103">
      <c r="A41" s="181" t="n">
        <v>1</v>
      </c>
      <c r="B41" s="197" t="n"/>
      <c r="C41" s="181" t="n"/>
      <c r="D41" s="181" t="n"/>
      <c r="E41" s="183" t="n"/>
      <c r="F41" s="183" t="n"/>
      <c r="G41" s="184" t="n"/>
      <c r="H41" s="139" t="n"/>
      <c r="I41" s="198" t="n"/>
      <c r="J41" s="199" t="n"/>
    </row>
    <row r="42" ht="15" customHeight="1" s="103">
      <c r="A42" s="200" t="n">
        <v>2</v>
      </c>
      <c r="B42" s="201" t="n"/>
      <c r="C42" s="200" t="n"/>
      <c r="D42" s="200" t="n"/>
      <c r="E42" s="202" t="n"/>
      <c r="F42" s="202" t="n"/>
      <c r="G42" s="203" t="n"/>
      <c r="H42" s="139" t="n"/>
      <c r="I42" s="204" t="n"/>
      <c r="J42" s="205" t="n"/>
    </row>
    <row r="43" ht="15" customHeight="1" s="103">
      <c r="A43" s="181" t="n">
        <v>3</v>
      </c>
      <c r="B43" s="197" t="n"/>
      <c r="C43" s="181" t="n"/>
      <c r="D43" s="181" t="n"/>
      <c r="E43" s="183" t="n"/>
      <c r="F43" s="183" t="n"/>
      <c r="G43" s="184" t="n"/>
      <c r="H43" s="139" t="n"/>
      <c r="I43" s="198" t="n"/>
      <c r="J43" s="199" t="n"/>
    </row>
    <row r="44" ht="15" customHeight="1" s="103">
      <c r="A44" s="200" t="n">
        <v>4</v>
      </c>
      <c r="B44" s="201" t="n"/>
      <c r="C44" s="200" t="n"/>
      <c r="D44" s="200" t="n"/>
      <c r="E44" s="202" t="n"/>
      <c r="F44" s="202" t="n"/>
      <c r="G44" s="203" t="n"/>
      <c r="H44" s="139" t="n"/>
      <c r="I44" s="204" t="n"/>
      <c r="J44" s="206" t="n"/>
    </row>
    <row r="45" ht="15" customHeight="1" s="103">
      <c r="A45" s="181" t="n">
        <v>5</v>
      </c>
      <c r="B45" s="197" t="n"/>
      <c r="C45" s="181" t="n"/>
      <c r="D45" s="181" t="n"/>
      <c r="E45" s="183" t="n"/>
      <c r="F45" s="183" t="n"/>
      <c r="G45" s="184" t="n"/>
      <c r="H45" s="139" t="n"/>
      <c r="I45" s="198" t="n"/>
      <c r="J45" s="199" t="n"/>
    </row>
    <row r="46" ht="15" customHeight="1" s="103">
      <c r="A46" s="200" t="n"/>
      <c r="B46" s="201" t="n"/>
      <c r="C46" s="200" t="n"/>
      <c r="D46" s="200" t="n"/>
      <c r="E46" s="202" t="n"/>
      <c r="F46" s="202" t="n"/>
      <c r="G46" s="203" t="n"/>
      <c r="H46" s="139" t="n"/>
      <c r="I46" s="204" t="n"/>
      <c r="J46" s="205" t="n"/>
    </row>
    <row r="47" ht="15" customHeight="1" s="103">
      <c r="A47" s="181" t="n"/>
      <c r="B47" s="197" t="n"/>
      <c r="C47" s="181" t="n"/>
      <c r="D47" s="181" t="n"/>
      <c r="E47" s="183" t="n"/>
      <c r="F47" s="183" t="n"/>
      <c r="G47" s="184" t="n"/>
      <c r="H47" s="139" t="n"/>
      <c r="I47" s="198" t="n"/>
      <c r="J47" s="199" t="n"/>
    </row>
    <row r="48" ht="15" customHeight="1" s="103">
      <c r="A48" s="200" t="n"/>
      <c r="B48" s="201" t="n"/>
      <c r="C48" s="200" t="n"/>
      <c r="D48" s="200" t="n"/>
      <c r="E48" s="202" t="n"/>
      <c r="F48" s="202" t="n"/>
      <c r="G48" s="203" t="n"/>
      <c r="H48" s="139" t="n"/>
      <c r="I48" s="204" t="n"/>
      <c r="J48" s="205" t="n"/>
    </row>
    <row r="49" ht="15" customHeight="1" s="103">
      <c r="A49" s="181" t="n"/>
      <c r="B49" s="197" t="n"/>
      <c r="C49" s="181" t="n"/>
      <c r="D49" s="181" t="n"/>
      <c r="E49" s="183" t="n"/>
      <c r="F49" s="183" t="n"/>
      <c r="G49" s="184" t="n"/>
      <c r="H49" s="139" t="n"/>
      <c r="I49" s="198" t="n"/>
      <c r="J49" s="199" t="n"/>
    </row>
    <row r="50" ht="15" customHeight="1" s="103">
      <c r="A50" s="200" t="n"/>
      <c r="B50" s="201" t="n"/>
      <c r="C50" s="200" t="n"/>
      <c r="D50" s="200" t="n"/>
      <c r="E50" s="202" t="n"/>
      <c r="F50" s="202" t="n"/>
      <c r="G50" s="203" t="n"/>
      <c r="H50" s="139" t="n"/>
      <c r="I50" s="204" t="n"/>
      <c r="J50" s="205" t="n"/>
    </row>
    <row r="51" ht="15" customHeight="1" s="103">
      <c r="A51" s="181" t="n"/>
      <c r="B51" s="197" t="n"/>
      <c r="C51" s="181" t="n"/>
      <c r="D51" s="181" t="n"/>
      <c r="E51" s="183" t="n"/>
      <c r="F51" s="183" t="n"/>
      <c r="G51" s="184" t="n"/>
      <c r="H51" s="139" t="n"/>
      <c r="I51" s="198" t="n"/>
      <c r="J51" s="199" t="n"/>
    </row>
    <row r="52" ht="15" customHeight="1" s="103">
      <c r="A52" s="200" t="n"/>
      <c r="B52" s="201" t="n"/>
      <c r="C52" s="200" t="n"/>
      <c r="D52" s="200" t="n"/>
      <c r="E52" s="202" t="n"/>
      <c r="F52" s="202" t="n"/>
      <c r="G52" s="203" t="n"/>
      <c r="H52" s="139" t="n"/>
      <c r="I52" s="204" t="n"/>
      <c r="J52" s="205" t="n"/>
    </row>
    <row r="53" ht="15" customHeight="1" s="103">
      <c r="A53" s="181" t="n"/>
      <c r="B53" s="197" t="n"/>
      <c r="C53" s="181" t="n"/>
      <c r="D53" s="181" t="n"/>
      <c r="E53" s="183" t="n"/>
      <c r="F53" s="183" t="n"/>
      <c r="G53" s="184" t="n"/>
      <c r="H53" s="139" t="n"/>
      <c r="I53" s="198" t="n"/>
      <c r="J53" s="199" t="n"/>
    </row>
    <row r="54" ht="15" customHeight="1" s="103">
      <c r="A54" s="200" t="n"/>
      <c r="B54" s="201" t="n"/>
      <c r="C54" s="200" t="n"/>
      <c r="D54" s="200" t="n"/>
      <c r="E54" s="202" t="n"/>
      <c r="F54" s="202" t="n"/>
      <c r="G54" s="203" t="n"/>
      <c r="H54" s="139" t="n"/>
      <c r="I54" s="204" t="n"/>
      <c r="J54" s="205" t="n"/>
    </row>
    <row r="55" ht="15" customHeight="1" s="103">
      <c r="A55" s="181" t="n"/>
      <c r="B55" s="197" t="n"/>
      <c r="C55" s="181" t="n"/>
      <c r="D55" s="181" t="n"/>
      <c r="E55" s="183" t="n"/>
      <c r="F55" s="183" t="n"/>
      <c r="G55" s="184" t="n"/>
      <c r="H55" s="139" t="n"/>
      <c r="I55" s="198" t="n"/>
      <c r="J55" s="199" t="n"/>
    </row>
    <row r="56" ht="15" customHeight="1" s="103">
      <c r="A56" s="200" t="n"/>
      <c r="B56" s="201" t="n"/>
      <c r="C56" s="200" t="n"/>
      <c r="D56" s="200" t="n"/>
      <c r="E56" s="202" t="n"/>
      <c r="F56" s="202" t="n"/>
      <c r="G56" s="203" t="n"/>
      <c r="H56" s="139" t="n"/>
      <c r="I56" s="204" t="n"/>
      <c r="J56" s="205" t="n"/>
    </row>
    <row r="57" ht="15" customHeight="1" s="103">
      <c r="A57" s="181" t="n"/>
      <c r="B57" s="197" t="n"/>
      <c r="C57" s="181" t="n"/>
      <c r="D57" s="181" t="n"/>
      <c r="E57" s="183" t="n"/>
      <c r="F57" s="183" t="n"/>
      <c r="G57" s="184" t="n"/>
      <c r="H57" s="139" t="n"/>
      <c r="I57" s="198" t="n"/>
      <c r="J57" s="199" t="n"/>
    </row>
    <row r="58" ht="15" customHeight="1" s="103">
      <c r="A58" s="200" t="n"/>
      <c r="B58" s="201" t="n"/>
      <c r="C58" s="200" t="n"/>
      <c r="D58" s="200" t="n"/>
      <c r="E58" s="202" t="n"/>
      <c r="F58" s="202" t="n"/>
      <c r="G58" s="203" t="n"/>
      <c r="H58" s="139" t="n"/>
      <c r="I58" s="204" t="n"/>
      <c r="J58" s="205" t="n"/>
    </row>
    <row r="59" ht="15" customHeight="1" s="103">
      <c r="A59" s="181" t="n"/>
      <c r="B59" s="197" t="n"/>
      <c r="C59" s="181" t="n"/>
      <c r="D59" s="181" t="n"/>
      <c r="E59" s="183" t="n"/>
      <c r="F59" s="183" t="n"/>
      <c r="G59" s="184" t="n"/>
      <c r="H59" s="139" t="n"/>
      <c r="I59" s="198" t="n"/>
      <c r="J59" s="199" t="n"/>
    </row>
    <row r="60" ht="15" customHeight="1" s="103">
      <c r="A60" s="200" t="n"/>
      <c r="B60" s="201" t="n"/>
      <c r="C60" s="200" t="n"/>
      <c r="D60" s="200" t="n"/>
      <c r="E60" s="202" t="n"/>
      <c r="F60" s="202" t="n"/>
      <c r="G60" s="203" t="n"/>
      <c r="H60" s="139" t="n"/>
      <c r="I60" s="204" t="n"/>
      <c r="J60" s="205" t="n"/>
    </row>
    <row r="61" ht="15" customHeight="1" s="103">
      <c r="A61" s="181" t="n"/>
      <c r="B61" s="197" t="n"/>
      <c r="C61" s="181" t="n"/>
      <c r="D61" s="181" t="n"/>
      <c r="E61" s="183" t="n"/>
      <c r="F61" s="183" t="n"/>
      <c r="G61" s="184" t="n"/>
      <c r="H61" s="139" t="n"/>
      <c r="I61" s="198" t="n"/>
      <c r="J61" s="199" t="n"/>
    </row>
    <row r="62" ht="15" customHeight="1" s="103">
      <c r="A62" s="200" t="n"/>
      <c r="B62" s="201" t="n"/>
      <c r="C62" s="200" t="n"/>
      <c r="D62" s="200" t="n"/>
      <c r="E62" s="202" t="n"/>
      <c r="F62" s="202" t="n"/>
      <c r="G62" s="203" t="n"/>
      <c r="H62" s="139" t="n"/>
      <c r="I62" s="204" t="n"/>
      <c r="J62" s="205" t="n"/>
    </row>
    <row r="63" ht="15" customHeight="1" s="103">
      <c r="A63" s="181" t="n"/>
      <c r="B63" s="197" t="n"/>
      <c r="C63" s="181" t="n"/>
      <c r="D63" s="181" t="n"/>
      <c r="E63" s="183" t="n"/>
      <c r="F63" s="183" t="n"/>
      <c r="G63" s="184" t="n"/>
      <c r="H63" s="139" t="n"/>
      <c r="I63" s="198" t="n"/>
      <c r="J63" s="199" t="n"/>
    </row>
    <row r="64" ht="15" customHeight="1" s="103">
      <c r="A64" s="200" t="n"/>
      <c r="B64" s="201" t="n"/>
      <c r="C64" s="200" t="n"/>
      <c r="D64" s="200" t="n"/>
      <c r="E64" s="202" t="n"/>
      <c r="F64" s="202" t="n"/>
      <c r="G64" s="203" t="n"/>
      <c r="H64" s="139" t="n"/>
      <c r="I64" s="204" t="n"/>
      <c r="J64" s="205" t="n"/>
    </row>
    <row r="65" ht="15" customHeight="1" s="103">
      <c r="A65" s="181" t="n"/>
      <c r="B65" s="197" t="n"/>
      <c r="C65" s="181" t="n"/>
      <c r="D65" s="181" t="n"/>
      <c r="E65" s="183" t="n"/>
      <c r="F65" s="183" t="n"/>
      <c r="G65" s="184" t="n"/>
      <c r="H65" s="139" t="n"/>
      <c r="I65" s="198" t="n"/>
      <c r="J65" s="199" t="n"/>
    </row>
    <row r="66" ht="15" customHeight="1" s="103">
      <c r="A66" s="200" t="n"/>
      <c r="B66" s="201" t="n"/>
      <c r="C66" s="200" t="n"/>
      <c r="D66" s="200" t="n"/>
      <c r="E66" s="202" t="n"/>
      <c r="F66" s="202" t="n"/>
      <c r="G66" s="203" t="n"/>
      <c r="H66" s="139" t="n"/>
      <c r="I66" s="204" t="n"/>
      <c r="J66" s="205" t="n"/>
    </row>
    <row r="67" ht="15" customHeight="1" s="103">
      <c r="A67" s="181" t="n"/>
      <c r="B67" s="197" t="n"/>
      <c r="C67" s="181" t="n"/>
      <c r="D67" s="181" t="n"/>
      <c r="E67" s="183" t="n"/>
      <c r="F67" s="183" t="n"/>
      <c r="G67" s="184" t="n"/>
      <c r="H67" s="139" t="n"/>
      <c r="I67" s="198" t="n"/>
      <c r="J67" s="199" t="n"/>
    </row>
    <row r="68" ht="15" customHeight="1" s="103">
      <c r="A68" s="200" t="n"/>
      <c r="B68" s="201" t="n"/>
      <c r="C68" s="200" t="n"/>
      <c r="D68" s="200" t="n"/>
      <c r="E68" s="202" t="n"/>
      <c r="F68" s="202" t="n"/>
      <c r="G68" s="203" t="n"/>
      <c r="H68" s="139" t="n"/>
      <c r="I68" s="204" t="n"/>
      <c r="J68" s="205" t="n"/>
    </row>
    <row r="69" ht="15" customHeight="1" s="103">
      <c r="A69" s="181" t="n"/>
      <c r="B69" s="197" t="n"/>
      <c r="C69" s="181" t="n"/>
      <c r="D69" s="181" t="n"/>
      <c r="E69" s="183" t="n"/>
      <c r="F69" s="183" t="n"/>
      <c r="G69" s="184" t="n"/>
      <c r="H69" s="139" t="n"/>
      <c r="I69" s="198" t="n"/>
      <c r="J69" s="199" t="n"/>
    </row>
    <row r="70" ht="15" customHeight="1" s="103">
      <c r="A70" s="200" t="n"/>
      <c r="B70" s="201" t="n"/>
      <c r="C70" s="200" t="n"/>
      <c r="D70" s="200" t="n"/>
      <c r="E70" s="202" t="n"/>
      <c r="F70" s="202" t="n"/>
      <c r="G70" s="203" t="n"/>
      <c r="H70" s="139" t="n"/>
      <c r="I70" s="204" t="n"/>
      <c r="J70" s="205" t="n"/>
    </row>
    <row r="71" ht="15" customHeight="1" s="103">
      <c r="A71" s="181" t="n"/>
      <c r="B71" s="197" t="n"/>
      <c r="C71" s="181" t="n"/>
      <c r="D71" s="181" t="n"/>
      <c r="E71" s="183" t="n"/>
      <c r="F71" s="183" t="n"/>
      <c r="G71" s="184" t="n"/>
      <c r="H71" s="139" t="n"/>
      <c r="I71" s="198" t="n"/>
      <c r="J71" s="199" t="n"/>
    </row>
    <row r="72" ht="15" customHeight="1" s="103">
      <c r="A72" s="200" t="n"/>
      <c r="B72" s="201" t="n"/>
      <c r="C72" s="200" t="n"/>
      <c r="D72" s="200" t="n"/>
      <c r="E72" s="202" t="n"/>
      <c r="F72" s="202" t="n"/>
      <c r="G72" s="203" t="n"/>
      <c r="H72" s="139" t="n"/>
      <c r="I72" s="204" t="n"/>
      <c r="J72" s="205" t="n"/>
    </row>
    <row r="73" ht="15" customHeight="1" s="103">
      <c r="A73" s="181" t="n"/>
      <c r="B73" s="197" t="n"/>
      <c r="C73" s="181" t="n"/>
      <c r="D73" s="181" t="n"/>
      <c r="E73" s="183" t="n"/>
      <c r="F73" s="183" t="n"/>
      <c r="G73" s="184" t="n"/>
      <c r="H73" s="139" t="n"/>
      <c r="I73" s="198" t="n"/>
      <c r="J73" s="199" t="n"/>
    </row>
    <row r="74" ht="15" customHeight="1" s="103">
      <c r="A74" s="200" t="n"/>
      <c r="B74" s="201" t="n"/>
      <c r="C74" s="200" t="n"/>
      <c r="D74" s="200" t="n"/>
      <c r="E74" s="202" t="n"/>
      <c r="F74" s="202" t="n"/>
      <c r="G74" s="203" t="n"/>
      <c r="H74" s="139" t="n"/>
      <c r="I74" s="204" t="n"/>
      <c r="J74" s="205" t="n"/>
    </row>
    <row r="75" ht="15" customHeight="1" s="103">
      <c r="A75" s="181" t="n"/>
      <c r="B75" s="197" t="n"/>
      <c r="C75" s="181" t="n"/>
      <c r="D75" s="181" t="n"/>
      <c r="E75" s="183" t="n"/>
      <c r="F75" s="183" t="n"/>
      <c r="G75" s="184" t="n"/>
      <c r="H75" s="139" t="n"/>
      <c r="I75" s="198" t="n"/>
      <c r="J75" s="199" t="n"/>
    </row>
    <row r="76" ht="15" customHeight="1" s="103">
      <c r="A76" s="200" t="n"/>
      <c r="B76" s="201" t="n"/>
      <c r="C76" s="200" t="n"/>
      <c r="D76" s="200" t="n"/>
      <c r="E76" s="202" t="n"/>
      <c r="F76" s="202" t="n"/>
      <c r="G76" s="203" t="n"/>
      <c r="H76" s="139" t="n"/>
      <c r="I76" s="204" t="n"/>
      <c r="J76" s="205" t="n"/>
    </row>
    <row r="77" ht="15" customHeight="1" s="103">
      <c r="A77" s="181" t="n"/>
      <c r="B77" s="197" t="n"/>
      <c r="C77" s="181" t="n"/>
      <c r="D77" s="181" t="n"/>
      <c r="E77" s="183" t="n"/>
      <c r="F77" s="183" t="n"/>
      <c r="G77" s="184" t="n"/>
      <c r="H77" s="139" t="n"/>
      <c r="I77" s="198" t="n"/>
      <c r="J77" s="199" t="n"/>
    </row>
    <row r="78" ht="15" customHeight="1" s="103">
      <c r="A78" s="200" t="n"/>
      <c r="B78" s="201" t="n"/>
      <c r="C78" s="200" t="n"/>
      <c r="D78" s="200" t="n"/>
      <c r="E78" s="202" t="n"/>
      <c r="F78" s="202" t="n"/>
      <c r="G78" s="203" t="n"/>
      <c r="H78" s="139" t="n"/>
      <c r="I78" s="204" t="n"/>
      <c r="J78" s="205" t="n"/>
    </row>
    <row r="79" ht="15" customHeight="1" s="103">
      <c r="A79" s="181" t="n"/>
      <c r="B79" s="197" t="n"/>
      <c r="C79" s="181" t="n"/>
      <c r="D79" s="181" t="n"/>
      <c r="E79" s="183" t="n"/>
      <c r="F79" s="183" t="n"/>
      <c r="G79" s="184" t="n"/>
      <c r="H79" s="139" t="n"/>
      <c r="I79" s="198" t="n"/>
      <c r="J79" s="199" t="n"/>
    </row>
    <row r="80" ht="15" customHeight="1" s="103">
      <c r="A80" s="200" t="n"/>
      <c r="B80" s="201" t="n"/>
      <c r="C80" s="200" t="n"/>
      <c r="D80" s="200" t="n"/>
      <c r="E80" s="202" t="n"/>
      <c r="F80" s="202" t="n"/>
      <c r="G80" s="203" t="n"/>
      <c r="H80" s="139" t="n"/>
      <c r="I80" s="204" t="n"/>
      <c r="J80" s="205" t="n"/>
    </row>
    <row r="81" ht="15" customHeight="1" s="103">
      <c r="A81" s="181" t="n"/>
      <c r="B81" s="197" t="n"/>
      <c r="C81" s="181" t="n"/>
      <c r="D81" s="181" t="n"/>
      <c r="E81" s="183" t="n"/>
      <c r="F81" s="183" t="n"/>
      <c r="G81" s="184" t="n"/>
      <c r="H81" s="139" t="n"/>
      <c r="I81" s="198" t="n"/>
      <c r="J81" s="199" t="n"/>
    </row>
    <row r="82" ht="15" customHeight="1" s="103">
      <c r="A82" s="200" t="n"/>
      <c r="B82" s="201" t="n"/>
      <c r="C82" s="200" t="n"/>
      <c r="D82" s="200" t="n"/>
      <c r="E82" s="202" t="n"/>
      <c r="F82" s="202" t="n"/>
      <c r="G82" s="203" t="n"/>
      <c r="H82" s="139" t="n"/>
      <c r="I82" s="204" t="n"/>
      <c r="J82" s="205" t="n"/>
    </row>
    <row r="83" ht="15" customHeight="1" s="103">
      <c r="A83" s="181" t="n"/>
      <c r="B83" s="197" t="n"/>
      <c r="C83" s="181" t="n"/>
      <c r="D83" s="181" t="n"/>
      <c r="E83" s="183" t="n"/>
      <c r="F83" s="183" t="n"/>
      <c r="G83" s="184" t="n"/>
      <c r="H83" s="139" t="n"/>
      <c r="I83" s="198" t="n"/>
      <c r="J83" s="199" t="n"/>
    </row>
    <row r="84" ht="15" customHeight="1" s="103">
      <c r="A84" s="200" t="n"/>
      <c r="B84" s="201" t="n"/>
      <c r="C84" s="200" t="n"/>
      <c r="D84" s="200" t="n"/>
      <c r="E84" s="202" t="n"/>
      <c r="F84" s="202" t="n"/>
      <c r="G84" s="203" t="n"/>
      <c r="H84" s="139" t="n"/>
      <c r="I84" s="204" t="n"/>
      <c r="J84" s="205" t="n"/>
    </row>
    <row r="85" ht="15" customHeight="1" s="103">
      <c r="A85" s="181" t="n"/>
      <c r="B85" s="197" t="n"/>
      <c r="C85" s="181" t="n"/>
      <c r="D85" s="181" t="n"/>
      <c r="E85" s="183" t="n"/>
      <c r="F85" s="183" t="n"/>
      <c r="G85" s="184" t="n"/>
      <c r="H85" s="139" t="n"/>
      <c r="I85" s="198" t="n"/>
      <c r="J85" s="199" t="n"/>
    </row>
    <row r="86" ht="15" customHeight="1" s="103">
      <c r="A86" s="200" t="n"/>
      <c r="B86" s="201" t="n"/>
      <c r="C86" s="200" t="n"/>
      <c r="D86" s="200" t="n"/>
      <c r="E86" s="202" t="n"/>
      <c r="F86" s="202" t="n"/>
      <c r="G86" s="203" t="n"/>
      <c r="H86" s="139" t="n"/>
      <c r="I86" s="204" t="n"/>
      <c r="J86" s="205" t="n"/>
    </row>
    <row r="87" ht="15" customHeight="1" s="103">
      <c r="A87" s="181" t="n"/>
      <c r="B87" s="197" t="n"/>
      <c r="C87" s="181" t="n"/>
      <c r="D87" s="181" t="n"/>
      <c r="E87" s="183" t="n"/>
      <c r="F87" s="183" t="n"/>
      <c r="G87" s="184" t="n"/>
      <c r="H87" s="139" t="n"/>
      <c r="I87" s="198" t="n"/>
      <c r="J87" s="199" t="n"/>
    </row>
    <row r="88" ht="15" customHeight="1" s="103">
      <c r="A88" s="200" t="n"/>
      <c r="B88" s="201" t="n"/>
      <c r="C88" s="200" t="n"/>
      <c r="D88" s="200" t="n"/>
      <c r="E88" s="202" t="n"/>
      <c r="F88" s="202" t="n"/>
      <c r="G88" s="203" t="n"/>
      <c r="H88" s="139" t="n"/>
      <c r="I88" s="204" t="n"/>
      <c r="J88" s="205" t="n"/>
    </row>
    <row r="89" ht="15" customHeight="1" s="103">
      <c r="A89" s="181" t="n"/>
      <c r="B89" s="197" t="n"/>
      <c r="C89" s="181" t="n"/>
      <c r="D89" s="181" t="n"/>
      <c r="E89" s="183" t="n"/>
      <c r="F89" s="183" t="n"/>
      <c r="G89" s="184" t="n"/>
      <c r="H89" s="139" t="n"/>
      <c r="I89" s="198" t="n"/>
      <c r="J89" s="199" t="n"/>
    </row>
    <row r="90" ht="15" customHeight="1" s="103">
      <c r="A90" s="200" t="n"/>
      <c r="B90" s="201" t="n"/>
      <c r="C90" s="200" t="n"/>
      <c r="D90" s="200" t="n"/>
      <c r="E90" s="202" t="n"/>
      <c r="F90" s="202" t="n"/>
      <c r="G90" s="203" t="n"/>
      <c r="H90" s="139" t="n"/>
      <c r="I90" s="204" t="n"/>
      <c r="J90" s="205" t="n"/>
    </row>
    <row r="91" ht="15" customHeight="1" s="103">
      <c r="A91" s="181" t="n"/>
      <c r="B91" s="197" t="n"/>
      <c r="C91" s="181" t="n"/>
      <c r="D91" s="181" t="n"/>
      <c r="E91" s="183" t="n"/>
      <c r="F91" s="183" t="n"/>
      <c r="G91" s="184" t="n"/>
      <c r="H91" s="139" t="n"/>
      <c r="I91" s="198" t="n"/>
      <c r="J91" s="199" t="n"/>
    </row>
    <row r="92" ht="15" customHeight="1" s="103">
      <c r="A92" s="200" t="n"/>
      <c r="B92" s="201" t="n"/>
      <c r="C92" s="200" t="n"/>
      <c r="D92" s="200" t="n"/>
      <c r="E92" s="202" t="n"/>
      <c r="F92" s="202" t="n"/>
      <c r="G92" s="203" t="n"/>
      <c r="H92" s="139" t="n"/>
      <c r="I92" s="204" t="n"/>
      <c r="J92" s="205" t="n"/>
    </row>
    <row r="93" ht="15" customHeight="1" s="103">
      <c r="A93" s="181" t="n"/>
      <c r="B93" s="197" t="n"/>
      <c r="C93" s="181" t="n"/>
      <c r="D93" s="181" t="n"/>
      <c r="E93" s="183" t="n"/>
      <c r="F93" s="183" t="n"/>
      <c r="G93" s="184" t="n"/>
      <c r="H93" s="139" t="n"/>
      <c r="I93" s="198" t="n"/>
      <c r="J93" s="199" t="n"/>
    </row>
    <row r="94" ht="15" customHeight="1" s="103">
      <c r="A94" s="200" t="n"/>
      <c r="B94" s="201" t="n"/>
      <c r="C94" s="200" t="n"/>
      <c r="D94" s="200" t="n"/>
      <c r="E94" s="202" t="n"/>
      <c r="F94" s="202" t="n"/>
      <c r="G94" s="203" t="n"/>
      <c r="H94" s="139" t="n"/>
      <c r="I94" s="204" t="n"/>
      <c r="J94" s="205" t="n"/>
    </row>
    <row r="95" ht="15" customHeight="1" s="103">
      <c r="A95" s="181" t="n"/>
      <c r="B95" s="197" t="n"/>
      <c r="C95" s="181" t="n"/>
      <c r="D95" s="181" t="n"/>
      <c r="E95" s="183" t="n"/>
      <c r="F95" s="183" t="n"/>
      <c r="G95" s="184" t="n"/>
      <c r="H95" s="139" t="n"/>
      <c r="I95" s="198" t="n"/>
      <c r="J95" s="199" t="n"/>
    </row>
    <row r="96" ht="15" customHeight="1" s="103">
      <c r="A96" s="200" t="n"/>
      <c r="B96" s="201" t="n"/>
      <c r="C96" s="200" t="n"/>
      <c r="D96" s="200" t="n"/>
      <c r="E96" s="202" t="n"/>
      <c r="F96" s="202" t="n"/>
      <c r="G96" s="203" t="n"/>
      <c r="H96" s="139" t="n"/>
      <c r="I96" s="204" t="n"/>
      <c r="J96" s="205" t="n"/>
    </row>
    <row r="97" ht="15" customHeight="1" s="103">
      <c r="A97" s="181" t="n"/>
      <c r="B97" s="197" t="n"/>
      <c r="C97" s="181" t="n"/>
      <c r="D97" s="181" t="n"/>
      <c r="E97" s="183" t="n"/>
      <c r="F97" s="183" t="n"/>
      <c r="G97" s="184" t="n"/>
      <c r="H97" s="139" t="n"/>
      <c r="I97" s="198" t="n"/>
      <c r="J97" s="199" t="n"/>
    </row>
    <row r="98" ht="15" customHeight="1" s="103">
      <c r="A98" s="200" t="n"/>
      <c r="B98" s="201" t="n"/>
      <c r="C98" s="200" t="n"/>
      <c r="D98" s="200" t="n"/>
      <c r="E98" s="202" t="n"/>
      <c r="F98" s="202" t="n"/>
      <c r="G98" s="203" t="n"/>
      <c r="H98" s="139" t="n"/>
      <c r="I98" s="204" t="n"/>
      <c r="J98" s="205" t="n"/>
    </row>
    <row r="99" ht="15" customHeight="1" s="103">
      <c r="A99" s="181" t="n"/>
      <c r="B99" s="197" t="n"/>
      <c r="C99" s="181" t="n"/>
      <c r="D99" s="181" t="n"/>
      <c r="E99" s="183" t="n"/>
      <c r="F99" s="183" t="n"/>
      <c r="G99" s="184" t="n"/>
      <c r="H99" s="139" t="n"/>
      <c r="I99" s="198" t="n"/>
      <c r="J99" s="199" t="n"/>
    </row>
    <row r="100" ht="15" customHeight="1" s="103">
      <c r="A100" s="200" t="n"/>
      <c r="B100" s="201" t="n"/>
      <c r="C100" s="200" t="n"/>
      <c r="D100" s="200" t="n"/>
      <c r="E100" s="202" t="n"/>
      <c r="F100" s="202" t="n"/>
      <c r="G100" s="203" t="n"/>
      <c r="H100" s="139" t="n"/>
      <c r="I100" s="204" t="n"/>
      <c r="J100" s="205" t="n"/>
    </row>
    <row r="101" ht="15" customHeight="1" s="103">
      <c r="A101" s="181" t="n"/>
      <c r="B101" s="197" t="n"/>
      <c r="C101" s="181" t="n"/>
      <c r="D101" s="181" t="n"/>
      <c r="E101" s="183" t="n"/>
      <c r="F101" s="183" t="n"/>
      <c r="G101" s="184" t="n"/>
      <c r="H101" s="139" t="n"/>
      <c r="I101" s="198" t="n"/>
      <c r="J101" s="199" t="n"/>
    </row>
    <row r="102" ht="15" customHeight="1" s="103">
      <c r="A102" s="200" t="n"/>
      <c r="B102" s="201" t="n"/>
      <c r="C102" s="200" t="n"/>
      <c r="D102" s="200" t="n"/>
      <c r="E102" s="202" t="n"/>
      <c r="F102" s="202" t="n"/>
      <c r="G102" s="203" t="n"/>
      <c r="H102" s="139" t="n"/>
      <c r="I102" s="204" t="n"/>
      <c r="J102" s="205" t="n"/>
    </row>
    <row r="103" ht="15" customHeight="1" s="103">
      <c r="A103" s="181" t="n"/>
      <c r="B103" s="197" t="n"/>
      <c r="C103" s="181" t="n"/>
      <c r="D103" s="181" t="n"/>
      <c r="E103" s="183" t="n"/>
      <c r="F103" s="183" t="n"/>
      <c r="G103" s="184" t="n"/>
      <c r="H103" s="139" t="n"/>
      <c r="I103" s="198" t="n"/>
      <c r="J103" s="199" t="n"/>
    </row>
    <row r="104" ht="15" customHeight="1" s="103">
      <c r="A104" s="200" t="n"/>
      <c r="B104" s="201" t="n"/>
      <c r="C104" s="200" t="n"/>
      <c r="D104" s="200" t="n"/>
      <c r="E104" s="202" t="n"/>
      <c r="F104" s="202" t="n"/>
      <c r="G104" s="203" t="n"/>
      <c r="H104" s="139" t="n"/>
      <c r="I104" s="204" t="n"/>
      <c r="J104" s="205" t="n"/>
    </row>
    <row r="105" ht="15" customHeight="1" s="103">
      <c r="A105" s="181" t="n"/>
      <c r="B105" s="197" t="n"/>
      <c r="C105" s="181" t="n"/>
      <c r="D105" s="181" t="n"/>
      <c r="E105" s="183" t="n"/>
      <c r="F105" s="183" t="n"/>
      <c r="G105" s="184" t="n"/>
      <c r="H105" s="139" t="n"/>
      <c r="I105" s="198" t="n"/>
      <c r="J105" s="199" t="n"/>
    </row>
    <row r="106" ht="15" customHeight="1" s="103">
      <c r="A106" s="200" t="n"/>
      <c r="B106" s="201" t="n"/>
      <c r="C106" s="200" t="n"/>
      <c r="D106" s="200" t="n"/>
      <c r="E106" s="202" t="n"/>
      <c r="F106" s="202" t="n"/>
      <c r="G106" s="203" t="n"/>
      <c r="H106" s="139" t="n"/>
      <c r="I106" s="204" t="n"/>
      <c r="J106" s="205" t="n"/>
    </row>
    <row r="107" ht="15" customHeight="1" s="103">
      <c r="A107" s="181" t="n"/>
      <c r="B107" s="197" t="n"/>
      <c r="C107" s="181" t="n"/>
      <c r="D107" s="181" t="n"/>
      <c r="E107" s="183" t="n"/>
      <c r="F107" s="183" t="n"/>
      <c r="G107" s="184" t="n"/>
      <c r="H107" s="139" t="n"/>
      <c r="I107" s="198" t="n"/>
      <c r="J107" s="199" t="n"/>
    </row>
    <row r="108" ht="15" customHeight="1" s="103">
      <c r="A108" s="200" t="n"/>
      <c r="B108" s="201" t="n"/>
      <c r="C108" s="200" t="n"/>
      <c r="D108" s="200" t="n"/>
      <c r="E108" s="202" t="n"/>
      <c r="F108" s="202" t="n"/>
      <c r="G108" s="203" t="n"/>
      <c r="H108" s="139" t="n"/>
      <c r="I108" s="204" t="n"/>
      <c r="J108" s="205" t="n"/>
    </row>
    <row r="109" ht="15" customHeight="1" s="103">
      <c r="A109" s="181" t="n"/>
      <c r="B109" s="197" t="n"/>
      <c r="C109" s="181" t="n"/>
      <c r="D109" s="181" t="n"/>
      <c r="E109" s="183" t="n"/>
      <c r="F109" s="183" t="n"/>
      <c r="G109" s="184" t="n"/>
      <c r="H109" s="139" t="n"/>
      <c r="I109" s="198" t="n"/>
      <c r="J109" s="199" t="n"/>
    </row>
    <row r="110" ht="15" customHeight="1" s="103">
      <c r="A110" s="200" t="n"/>
      <c r="B110" s="201" t="n"/>
      <c r="C110" s="200" t="n"/>
      <c r="D110" s="200" t="n"/>
      <c r="E110" s="202" t="n"/>
      <c r="F110" s="202" t="n"/>
      <c r="G110" s="203" t="n"/>
      <c r="H110" s="139" t="n"/>
      <c r="I110" s="204" t="n"/>
      <c r="J110" s="205" t="n"/>
    </row>
    <row r="111" ht="15" customHeight="1" s="103">
      <c r="A111" s="181" t="n"/>
      <c r="B111" s="197" t="n"/>
      <c r="C111" s="181" t="n"/>
      <c r="D111" s="181" t="n"/>
      <c r="E111" s="183" t="n"/>
      <c r="F111" s="183" t="n"/>
      <c r="G111" s="184" t="n"/>
      <c r="H111" s="139" t="n"/>
      <c r="I111" s="198" t="n"/>
      <c r="J111" s="199" t="n"/>
    </row>
    <row r="112" ht="15" customHeight="1" s="103">
      <c r="A112" s="200" t="n"/>
      <c r="B112" s="201" t="n"/>
      <c r="C112" s="200" t="n"/>
      <c r="D112" s="200" t="n"/>
      <c r="E112" s="202" t="n"/>
      <c r="F112" s="202" t="n"/>
      <c r="G112" s="203" t="n"/>
      <c r="H112" s="139" t="n"/>
      <c r="I112" s="204" t="n"/>
      <c r="J112" s="205" t="n"/>
    </row>
    <row r="113" ht="15" customHeight="1" s="103">
      <c r="A113" s="181" t="n"/>
      <c r="B113" s="197" t="n"/>
      <c r="C113" s="181" t="n"/>
      <c r="D113" s="181" t="n"/>
      <c r="E113" s="183" t="n"/>
      <c r="F113" s="183" t="n"/>
      <c r="G113" s="184" t="n"/>
      <c r="H113" s="139" t="n"/>
      <c r="I113" s="198" t="n"/>
      <c r="J113" s="199" t="n"/>
    </row>
    <row r="114" ht="15" customHeight="1" s="103">
      <c r="A114" s="200" t="n"/>
      <c r="B114" s="201" t="n"/>
      <c r="C114" s="200" t="n"/>
      <c r="D114" s="200" t="n"/>
      <c r="E114" s="202" t="n"/>
      <c r="F114" s="202" t="n"/>
      <c r="G114" s="203" t="n"/>
      <c r="H114" s="139" t="n"/>
      <c r="I114" s="204" t="n"/>
      <c r="J114" s="205" t="n"/>
    </row>
    <row r="115" ht="15" customHeight="1" s="103">
      <c r="A115" s="181" t="n"/>
      <c r="B115" s="197" t="n"/>
      <c r="C115" s="181" t="n"/>
      <c r="D115" s="181" t="n"/>
      <c r="E115" s="183" t="n"/>
      <c r="F115" s="183" t="n"/>
      <c r="G115" s="184" t="n"/>
      <c r="H115" s="139" t="n"/>
      <c r="I115" s="198" t="n"/>
      <c r="J115" s="199" t="n"/>
    </row>
    <row r="116" ht="15" customHeight="1" s="103">
      <c r="A116" s="200" t="n"/>
      <c r="B116" s="201" t="n"/>
      <c r="C116" s="200" t="n"/>
      <c r="D116" s="200" t="n"/>
      <c r="E116" s="202" t="n"/>
      <c r="F116" s="202" t="n"/>
      <c r="G116" s="203" t="n"/>
      <c r="H116" s="139" t="n"/>
      <c r="I116" s="204" t="n"/>
      <c r="J116" s="205" t="n"/>
    </row>
    <row r="117" ht="15" customHeight="1" s="103">
      <c r="A117" s="207" t="n"/>
      <c r="B117" s="199" t="n"/>
      <c r="C117" s="207" t="n"/>
      <c r="D117" s="207" t="n"/>
      <c r="E117" s="207" t="n"/>
      <c r="F117" s="208" t="n"/>
      <c r="G117" s="208" t="n"/>
      <c r="H117" s="207" t="n"/>
      <c r="I117" s="208" t="n"/>
      <c r="J117" s="199" t="n"/>
    </row>
    <row r="118" ht="15" customHeight="1" s="103">
      <c r="A118" s="206" t="n"/>
      <c r="B118" s="205" t="n"/>
      <c r="C118" s="206" t="n"/>
      <c r="D118" s="206" t="n"/>
      <c r="E118" s="206" t="n"/>
      <c r="F118" s="209" t="n"/>
      <c r="G118" s="209" t="n"/>
      <c r="H118" s="206" t="n"/>
      <c r="I118" s="209" t="n"/>
      <c r="J118" s="205" t="n"/>
    </row>
    <row r="119" ht="15" customHeight="1" s="103">
      <c r="A119" s="207" t="n"/>
      <c r="B119" s="199" t="n"/>
      <c r="C119" s="207" t="n"/>
      <c r="D119" s="207" t="n"/>
      <c r="E119" s="207" t="n"/>
      <c r="F119" s="208" t="n"/>
      <c r="G119" s="208" t="n"/>
      <c r="H119" s="207" t="n"/>
      <c r="I119" s="208" t="n"/>
      <c r="J119" s="199" t="n"/>
    </row>
    <row r="120" ht="15" customHeight="1" s="103">
      <c r="A120" s="206" t="n"/>
      <c r="B120" s="205" t="n"/>
      <c r="C120" s="206" t="n"/>
      <c r="D120" s="206" t="n"/>
      <c r="E120" s="206" t="n"/>
      <c r="F120" s="209" t="n"/>
      <c r="G120" s="209" t="n"/>
      <c r="H120" s="206" t="n"/>
      <c r="I120" s="209" t="n"/>
      <c r="J120" s="205" t="n"/>
    </row>
    <row r="121" ht="15" customHeight="1" s="103">
      <c r="A121" s="207" t="n"/>
      <c r="B121" s="199" t="n"/>
      <c r="C121" s="207" t="n"/>
      <c r="D121" s="207" t="n"/>
      <c r="E121" s="207" t="n"/>
      <c r="F121" s="208" t="n"/>
      <c r="G121" s="208" t="n"/>
      <c r="H121" s="207" t="n"/>
      <c r="I121" s="208" t="n"/>
      <c r="J121" s="199" t="n"/>
    </row>
    <row r="122" ht="15" customHeight="1" s="103">
      <c r="A122" s="206" t="n"/>
      <c r="B122" s="205" t="n"/>
      <c r="C122" s="206" t="n"/>
      <c r="D122" s="206" t="n"/>
      <c r="E122" s="206" t="n"/>
      <c r="F122" s="209" t="n"/>
      <c r="G122" s="209" t="n"/>
      <c r="H122" s="206" t="n"/>
      <c r="I122" s="209" t="n"/>
      <c r="J122" s="205" t="n"/>
    </row>
    <row r="123" ht="15" customHeight="1" s="103">
      <c r="A123" s="207" t="n"/>
      <c r="B123" s="199" t="n"/>
      <c r="C123" s="207" t="n"/>
      <c r="D123" s="207" t="n"/>
      <c r="E123" s="207" t="n"/>
      <c r="F123" s="208" t="n"/>
      <c r="G123" s="208" t="n"/>
      <c r="H123" s="207" t="n"/>
      <c r="I123" s="208" t="n"/>
      <c r="J123" s="199" t="n"/>
    </row>
    <row r="124" ht="15" customHeight="1" s="103">
      <c r="A124" s="206" t="n"/>
      <c r="B124" s="205" t="n"/>
      <c r="C124" s="206" t="n"/>
      <c r="D124" s="206" t="n"/>
      <c r="E124" s="206" t="n"/>
      <c r="F124" s="209" t="n"/>
      <c r="G124" s="209" t="n"/>
      <c r="H124" s="206" t="n"/>
      <c r="I124" s="209" t="n"/>
      <c r="J124" s="205" t="n"/>
    </row>
    <row r="125" ht="15" customHeight="1" s="103">
      <c r="A125" s="207" t="n"/>
      <c r="B125" s="199" t="n"/>
      <c r="C125" s="207" t="n"/>
      <c r="D125" s="207" t="n"/>
      <c r="E125" s="207" t="n"/>
      <c r="F125" s="208" t="n"/>
      <c r="G125" s="208" t="n"/>
      <c r="H125" s="207" t="n"/>
      <c r="I125" s="208" t="n"/>
      <c r="J125" s="199" t="n"/>
    </row>
    <row r="126" ht="15" customHeight="1" s="103">
      <c r="A126" s="206" t="n"/>
      <c r="B126" s="205" t="n"/>
      <c r="C126" s="206" t="n"/>
      <c r="D126" s="206" t="n"/>
      <c r="E126" s="206" t="n"/>
      <c r="F126" s="209" t="n"/>
      <c r="G126" s="209" t="n"/>
      <c r="H126" s="206" t="n"/>
      <c r="I126" s="209" t="n"/>
      <c r="J126" s="205" t="n"/>
    </row>
    <row r="127" ht="15" customHeight="1" s="103">
      <c r="A127" s="207" t="n"/>
      <c r="B127" s="199" t="n"/>
      <c r="C127" s="207" t="n"/>
      <c r="D127" s="207" t="n"/>
      <c r="E127" s="207" t="n"/>
      <c r="F127" s="208" t="n"/>
      <c r="G127" s="208" t="n"/>
      <c r="H127" s="207" t="n"/>
      <c r="I127" s="208" t="n"/>
      <c r="J127" s="199" t="n"/>
    </row>
    <row r="128" ht="15" customHeight="1" s="103">
      <c r="A128" s="206" t="n"/>
      <c r="B128" s="205" t="n"/>
      <c r="C128" s="206" t="n"/>
      <c r="D128" s="206" t="n"/>
      <c r="E128" s="206" t="n"/>
      <c r="F128" s="209" t="n"/>
      <c r="G128" s="209" t="n"/>
      <c r="H128" s="206" t="n"/>
      <c r="I128" s="209" t="n"/>
      <c r="J128" s="205" t="n"/>
    </row>
    <row r="129" ht="15" customHeight="1" s="103">
      <c r="A129" s="210" t="n"/>
      <c r="B129" s="211" t="n"/>
      <c r="C129" s="210" t="n"/>
      <c r="D129" s="210" t="n"/>
      <c r="E129" s="210" t="n"/>
      <c r="F129" s="212" t="n"/>
      <c r="G129" s="212" t="n"/>
      <c r="H129" s="210" t="n"/>
      <c r="I129" s="212" t="n"/>
      <c r="J129" s="211" t="n"/>
    </row>
    <row r="130" ht="15" customHeight="1" s="103">
      <c r="A130" s="210" t="n"/>
      <c r="B130" s="211" t="n"/>
      <c r="C130" s="210" t="n"/>
      <c r="D130" s="210" t="n"/>
      <c r="E130" s="210" t="n"/>
      <c r="F130" s="212" t="n"/>
      <c r="G130" s="212" t="n"/>
      <c r="H130" s="210" t="n"/>
      <c r="I130" s="212" t="n"/>
      <c r="J130" s="211" t="n"/>
    </row>
    <row r="131" ht="15" customHeight="1" s="103">
      <c r="A131" s="210" t="n"/>
      <c r="B131" s="211" t="n"/>
      <c r="C131" s="210" t="n"/>
      <c r="D131" s="210" t="n"/>
      <c r="E131" s="210" t="n"/>
      <c r="F131" s="212" t="n"/>
      <c r="G131" s="212" t="n"/>
      <c r="H131" s="210" t="n"/>
      <c r="I131" s="212" t="n"/>
      <c r="J131" s="211" t="n"/>
    </row>
    <row r="132" ht="15" customHeight="1" s="103">
      <c r="A132" s="210" t="n"/>
      <c r="B132" s="211" t="n"/>
      <c r="C132" s="210" t="n"/>
      <c r="D132" s="210" t="n"/>
      <c r="E132" s="210" t="n"/>
      <c r="F132" s="212" t="n"/>
      <c r="G132" s="212" t="n"/>
      <c r="H132" s="210" t="n"/>
      <c r="I132" s="212" t="n"/>
      <c r="J132" s="211" t="n"/>
    </row>
    <row r="133" ht="15" customHeight="1" s="103">
      <c r="A133" s="210" t="n"/>
      <c r="B133" s="211" t="n"/>
      <c r="C133" s="210" t="n"/>
      <c r="D133" s="210" t="n"/>
      <c r="E133" s="210" t="n"/>
      <c r="F133" s="212" t="n"/>
      <c r="G133" s="212" t="n"/>
      <c r="H133" s="210" t="n"/>
      <c r="I133" s="212" t="n"/>
      <c r="J133" s="211" t="n"/>
    </row>
    <row r="134" ht="15" customHeight="1" s="103">
      <c r="A134" s="210" t="n"/>
      <c r="B134" s="211" t="n"/>
      <c r="C134" s="210" t="n"/>
      <c r="D134" s="210" t="n"/>
      <c r="E134" s="210" t="n"/>
      <c r="F134" s="212" t="n"/>
      <c r="G134" s="212" t="n"/>
      <c r="H134" s="210" t="n"/>
      <c r="I134" s="212" t="n"/>
      <c r="J134" s="211" t="n"/>
    </row>
    <row r="135" ht="15" customHeight="1" s="103">
      <c r="A135" s="210" t="n"/>
      <c r="B135" s="211" t="n"/>
      <c r="C135" s="210" t="n"/>
      <c r="D135" s="210" t="n"/>
      <c r="E135" s="210" t="n"/>
      <c r="F135" s="212" t="n"/>
      <c r="G135" s="212" t="n"/>
      <c r="H135" s="210" t="n"/>
      <c r="I135" s="212" t="n"/>
      <c r="J135" s="211" t="n"/>
    </row>
    <row r="136" ht="15" customHeight="1" s="103">
      <c r="A136" s="210" t="n"/>
      <c r="B136" s="211" t="n"/>
      <c r="C136" s="210" t="n"/>
      <c r="D136" s="210" t="n"/>
      <c r="E136" s="210" t="n"/>
      <c r="F136" s="212" t="n"/>
      <c r="G136" s="212" t="n"/>
      <c r="H136" s="210" t="n"/>
      <c r="I136" s="212" t="n"/>
      <c r="J136" s="211" t="n"/>
    </row>
  </sheetData>
  <mergeCells count="3">
    <mergeCell ref="A15:K15"/>
    <mergeCell ref="A1:AN1"/>
    <mergeCell ref="A2:J2"/>
  </mergeCells>
  <conditionalFormatting sqref="F17:F117">
    <cfRule type="containsText" rank="0" priority="2" equalAverage="0" operator="containsText" aboveAverage="0" dxfId="0" text="Полностью" percent="0" bottom="0">
      <formula>NOT(ISERROR(SEARCH("Полностью",F17)))</formula>
    </cfRule>
    <cfRule type="containsText" rank="0" priority="3" equalAverage="0" operator="containsText" aboveAverage="0" dxfId="1" text="Не полный" percent="0" bottom="0">
      <formula>NOT(ISERROR(SEARCH("Не полный",F17)))</formula>
    </cfRule>
  </conditionalFormatting>
  <dataValidations count="2">
    <dataValidation sqref="H41:H1000" showDropDown="0" showInputMessage="0" showErrorMessage="0" allowBlank="0" errorTitle="Неверный статус" error="Выберите статус из списка" type="list" errorStyle="stop" operator="between">
      <formula1>"Обработка,Не дозвон,Ожидание,Отказ,Продажа"</formula1>
      <formula2>0</formula2>
    </dataValidation>
    <dataValidation sqref="F17:F1000" showDropDown="0" showInputMessage="0" showErrorMessage="0" allowBlank="0" errorTitle="Неверный статус" error="Выберите статус из списка" type="list" errorStyle="stop" operator="between">
      <formula1>"Полностью,Не полный"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2026-02-13T05:53:11Z</dcterms:created>
  <dcterms:modified xsi:type="dcterms:W3CDTF">2026-02-13T16:49:47Z</dcterms:modified>
  <cp:revision>0</cp:revision>
</cp:coreProperties>
</file>